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-Lighthouse-\"/>
    </mc:Choice>
  </mc:AlternateContent>
  <bookViews>
    <workbookView xWindow="0" yWindow="0" windowWidth="20460" windowHeight="6270"/>
  </bookViews>
  <sheets>
    <sheet name="Sheet1" sheetId="1" r:id="rId1"/>
  </sheets>
  <definedNames>
    <definedName name="solver_adj" localSheetId="0" hidden="1">Sheet1!$A$3:$C$3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Sheet1!$D$3</definedName>
    <definedName name="solver_typ" localSheetId="0" hidden="1">3</definedName>
    <definedName name="solver_val" localSheetId="0" hidden="1">"781E1E"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5" i="1" l="1"/>
  <c r="B215" i="1"/>
  <c r="C215" i="1"/>
  <c r="A214" i="1"/>
  <c r="B214" i="1"/>
  <c r="C214" i="1"/>
  <c r="A213" i="1"/>
  <c r="B213" i="1"/>
  <c r="C213" i="1"/>
  <c r="A212" i="1"/>
  <c r="B212" i="1"/>
  <c r="C212" i="1"/>
  <c r="A211" i="1"/>
  <c r="B211" i="1"/>
  <c r="C211" i="1"/>
  <c r="A210" i="1"/>
  <c r="D210" i="1" s="1"/>
  <c r="B210" i="1"/>
  <c r="C210" i="1"/>
  <c r="A209" i="1"/>
  <c r="B209" i="1"/>
  <c r="C209" i="1"/>
  <c r="A208" i="1"/>
  <c r="B208" i="1"/>
  <c r="C208" i="1"/>
  <c r="A207" i="1"/>
  <c r="B207" i="1"/>
  <c r="C207" i="1"/>
  <c r="A206" i="1"/>
  <c r="D206" i="1" s="1"/>
  <c r="B206" i="1"/>
  <c r="C206" i="1"/>
  <c r="A205" i="1"/>
  <c r="B205" i="1"/>
  <c r="D205" i="1" s="1"/>
  <c r="C205" i="1"/>
  <c r="A204" i="1"/>
  <c r="B204" i="1"/>
  <c r="C204" i="1"/>
  <c r="D204" i="1" s="1"/>
  <c r="A203" i="1"/>
  <c r="B203" i="1"/>
  <c r="C203" i="1"/>
  <c r="D203" i="1" s="1"/>
  <c r="A202" i="1"/>
  <c r="B202" i="1"/>
  <c r="C202" i="1"/>
  <c r="A201" i="1"/>
  <c r="B201" i="1"/>
  <c r="C201" i="1"/>
  <c r="A200" i="1"/>
  <c r="B200" i="1"/>
  <c r="C200" i="1"/>
  <c r="D200" i="1" s="1"/>
  <c r="A199" i="1"/>
  <c r="B199" i="1"/>
  <c r="C199" i="1"/>
  <c r="D199" i="1" s="1"/>
  <c r="A198" i="1"/>
  <c r="B198" i="1"/>
  <c r="C198" i="1"/>
  <c r="A197" i="1"/>
  <c r="B197" i="1"/>
  <c r="C197" i="1"/>
  <c r="A196" i="1"/>
  <c r="B196" i="1"/>
  <c r="C196" i="1"/>
  <c r="A195" i="1"/>
  <c r="B195" i="1"/>
  <c r="C195" i="1"/>
  <c r="A194" i="1"/>
  <c r="B194" i="1"/>
  <c r="C194" i="1"/>
  <c r="A193" i="1"/>
  <c r="B193" i="1"/>
  <c r="C193" i="1"/>
  <c r="A192" i="1"/>
  <c r="B192" i="1"/>
  <c r="C192" i="1"/>
  <c r="A191" i="1"/>
  <c r="B191" i="1"/>
  <c r="C191" i="1"/>
  <c r="A190" i="1"/>
  <c r="B190" i="1"/>
  <c r="C190" i="1"/>
  <c r="A189" i="1"/>
  <c r="B189" i="1"/>
  <c r="C189" i="1"/>
  <c r="A188" i="1"/>
  <c r="B188" i="1"/>
  <c r="C188" i="1"/>
  <c r="A187" i="1"/>
  <c r="B187" i="1"/>
  <c r="C187" i="1"/>
  <c r="A186" i="1"/>
  <c r="B186" i="1"/>
  <c r="C186" i="1"/>
  <c r="A185" i="1"/>
  <c r="B185" i="1"/>
  <c r="C185" i="1"/>
  <c r="A184" i="1"/>
  <c r="B184" i="1"/>
  <c r="C184" i="1"/>
  <c r="A183" i="1"/>
  <c r="B183" i="1"/>
  <c r="C183" i="1"/>
  <c r="A182" i="1"/>
  <c r="B182" i="1"/>
  <c r="C182" i="1"/>
  <c r="A181" i="1"/>
  <c r="B181" i="1"/>
  <c r="C181" i="1"/>
  <c r="A180" i="1"/>
  <c r="B180" i="1"/>
  <c r="C180" i="1"/>
  <c r="D180" i="1" s="1"/>
  <c r="A179" i="1"/>
  <c r="B179" i="1"/>
  <c r="C179" i="1"/>
  <c r="D179" i="1" s="1"/>
  <c r="A178" i="1"/>
  <c r="B178" i="1"/>
  <c r="C178" i="1"/>
  <c r="A177" i="1"/>
  <c r="B177" i="1"/>
  <c r="C177" i="1"/>
  <c r="A176" i="1"/>
  <c r="B176" i="1"/>
  <c r="C176" i="1"/>
  <c r="D176" i="1" s="1"/>
  <c r="A175" i="1"/>
  <c r="B175" i="1"/>
  <c r="C175" i="1"/>
  <c r="D175" i="1" s="1"/>
  <c r="A174" i="1"/>
  <c r="B174" i="1"/>
  <c r="C174" i="1"/>
  <c r="A173" i="1"/>
  <c r="B173" i="1"/>
  <c r="C173" i="1"/>
  <c r="A172" i="1"/>
  <c r="B172" i="1"/>
  <c r="C172" i="1"/>
  <c r="D172" i="1" s="1"/>
  <c r="A171" i="1"/>
  <c r="B171" i="1"/>
  <c r="C171" i="1"/>
  <c r="D171" i="1" s="1"/>
  <c r="A170" i="1"/>
  <c r="B170" i="1"/>
  <c r="C170" i="1"/>
  <c r="A169" i="1"/>
  <c r="B169" i="1"/>
  <c r="C169" i="1"/>
  <c r="A168" i="1"/>
  <c r="B168" i="1"/>
  <c r="C168" i="1"/>
  <c r="A167" i="1"/>
  <c r="B167" i="1"/>
  <c r="C167" i="1"/>
  <c r="A166" i="1"/>
  <c r="D166" i="1" s="1"/>
  <c r="B166" i="1"/>
  <c r="C166" i="1"/>
  <c r="A165" i="1"/>
  <c r="B165" i="1"/>
  <c r="C165" i="1"/>
  <c r="A164" i="1"/>
  <c r="B164" i="1"/>
  <c r="C164" i="1"/>
  <c r="A163" i="1"/>
  <c r="B163" i="1"/>
  <c r="C163" i="1"/>
  <c r="A162" i="1"/>
  <c r="D162" i="1" s="1"/>
  <c r="B162" i="1"/>
  <c r="C162" i="1"/>
  <c r="A161" i="1"/>
  <c r="B161" i="1"/>
  <c r="C161" i="1"/>
  <c r="A160" i="1"/>
  <c r="B160" i="1"/>
  <c r="C160" i="1"/>
  <c r="A159" i="1"/>
  <c r="B159" i="1"/>
  <c r="C159" i="1"/>
  <c r="A158" i="1"/>
  <c r="D158" i="1" s="1"/>
  <c r="B158" i="1"/>
  <c r="C158" i="1"/>
  <c r="A157" i="1"/>
  <c r="B157" i="1"/>
  <c r="C157" i="1"/>
  <c r="A156" i="1"/>
  <c r="B156" i="1"/>
  <c r="C156" i="1"/>
  <c r="A155" i="1"/>
  <c r="B155" i="1"/>
  <c r="C155" i="1"/>
  <c r="A154" i="1"/>
  <c r="B154" i="1"/>
  <c r="C154" i="1"/>
  <c r="A153" i="1"/>
  <c r="B153" i="1"/>
  <c r="C153" i="1"/>
  <c r="A152" i="1"/>
  <c r="B152" i="1"/>
  <c r="C152" i="1"/>
  <c r="A151" i="1"/>
  <c r="B151" i="1"/>
  <c r="C151" i="1"/>
  <c r="A150" i="1"/>
  <c r="B150" i="1"/>
  <c r="C150" i="1"/>
  <c r="A149" i="1"/>
  <c r="B149" i="1"/>
  <c r="C149" i="1"/>
  <c r="A148" i="1"/>
  <c r="B148" i="1"/>
  <c r="C148" i="1"/>
  <c r="A147" i="1"/>
  <c r="B147" i="1"/>
  <c r="C147" i="1"/>
  <c r="A146" i="1"/>
  <c r="B146" i="1"/>
  <c r="C146" i="1"/>
  <c r="A145" i="1"/>
  <c r="B145" i="1"/>
  <c r="C145" i="1"/>
  <c r="A144" i="1"/>
  <c r="B144" i="1"/>
  <c r="C144" i="1"/>
  <c r="A143" i="1"/>
  <c r="B143" i="1"/>
  <c r="C143" i="1"/>
  <c r="A142" i="1"/>
  <c r="B142" i="1"/>
  <c r="C142" i="1"/>
  <c r="A141" i="1"/>
  <c r="B141" i="1"/>
  <c r="C141" i="1"/>
  <c r="A140" i="1"/>
  <c r="B140" i="1"/>
  <c r="C140" i="1"/>
  <c r="A139" i="1"/>
  <c r="B139" i="1"/>
  <c r="C139" i="1"/>
  <c r="A138" i="1"/>
  <c r="B138" i="1"/>
  <c r="C138" i="1"/>
  <c r="A137" i="1"/>
  <c r="B137" i="1"/>
  <c r="C137" i="1"/>
  <c r="A136" i="1"/>
  <c r="B136" i="1"/>
  <c r="C136" i="1"/>
  <c r="A135" i="1"/>
  <c r="B135" i="1"/>
  <c r="C135" i="1"/>
  <c r="A134" i="1"/>
  <c r="D134" i="1" s="1"/>
  <c r="B134" i="1"/>
  <c r="C134" i="1"/>
  <c r="A133" i="1"/>
  <c r="B133" i="1"/>
  <c r="C133" i="1"/>
  <c r="A132" i="1"/>
  <c r="B132" i="1"/>
  <c r="C132" i="1"/>
  <c r="A131" i="1"/>
  <c r="B131" i="1"/>
  <c r="C131" i="1"/>
  <c r="A130" i="1"/>
  <c r="D130" i="1" s="1"/>
  <c r="B130" i="1"/>
  <c r="C130" i="1"/>
  <c r="A129" i="1"/>
  <c r="B129" i="1"/>
  <c r="C129" i="1"/>
  <c r="A128" i="1"/>
  <c r="B128" i="1"/>
  <c r="C128" i="1"/>
  <c r="A127" i="1"/>
  <c r="B127" i="1"/>
  <c r="C127" i="1"/>
  <c r="A126" i="1"/>
  <c r="B126" i="1"/>
  <c r="C126" i="1"/>
  <c r="A125" i="1"/>
  <c r="D125" i="1" s="1"/>
  <c r="B125" i="1"/>
  <c r="C125" i="1"/>
  <c r="A124" i="1"/>
  <c r="B124" i="1"/>
  <c r="C124" i="1"/>
  <c r="A123" i="1"/>
  <c r="B123" i="1"/>
  <c r="C123" i="1"/>
  <c r="A122" i="1"/>
  <c r="B122" i="1"/>
  <c r="C122" i="1"/>
  <c r="A121" i="1"/>
  <c r="B121" i="1"/>
  <c r="C121" i="1"/>
  <c r="A120" i="1"/>
  <c r="B120" i="1"/>
  <c r="C120" i="1"/>
  <c r="A119" i="1"/>
  <c r="B119" i="1"/>
  <c r="C119" i="1"/>
  <c r="A118" i="1"/>
  <c r="B118" i="1"/>
  <c r="C118" i="1"/>
  <c r="A117" i="1"/>
  <c r="B117" i="1"/>
  <c r="C117" i="1"/>
  <c r="A116" i="1"/>
  <c r="B116" i="1"/>
  <c r="C116" i="1"/>
  <c r="A115" i="1"/>
  <c r="B115" i="1"/>
  <c r="C115" i="1"/>
  <c r="A114" i="1"/>
  <c r="B114" i="1"/>
  <c r="C114" i="1"/>
  <c r="A113" i="1"/>
  <c r="D113" i="1" s="1"/>
  <c r="B113" i="1"/>
  <c r="C113" i="1"/>
  <c r="A112" i="1"/>
  <c r="D112" i="1" s="1"/>
  <c r="B112" i="1"/>
  <c r="C112" i="1"/>
  <c r="A111" i="1"/>
  <c r="D111" i="1" s="1"/>
  <c r="B111" i="1"/>
  <c r="C111" i="1"/>
  <c r="A110" i="1"/>
  <c r="D110" i="1" s="1"/>
  <c r="B110" i="1"/>
  <c r="C110" i="1"/>
  <c r="A109" i="1"/>
  <c r="B109" i="1"/>
  <c r="C109" i="1"/>
  <c r="A108" i="1"/>
  <c r="B108" i="1"/>
  <c r="C108" i="1"/>
  <c r="A107" i="1"/>
  <c r="B107" i="1"/>
  <c r="C107" i="1"/>
  <c r="A106" i="1"/>
  <c r="B106" i="1"/>
  <c r="C106" i="1"/>
  <c r="A105" i="1"/>
  <c r="D105" i="1" s="1"/>
  <c r="B105" i="1"/>
  <c r="C105" i="1"/>
  <c r="A104" i="1"/>
  <c r="B104" i="1"/>
  <c r="C104" i="1"/>
  <c r="A103" i="1"/>
  <c r="B103" i="1"/>
  <c r="C103" i="1"/>
  <c r="A102" i="1"/>
  <c r="B102" i="1"/>
  <c r="C102" i="1"/>
  <c r="A101" i="1"/>
  <c r="D101" i="1" s="1"/>
  <c r="B101" i="1"/>
  <c r="C101" i="1"/>
  <c r="A100" i="1"/>
  <c r="B100" i="1"/>
  <c r="C100" i="1"/>
  <c r="A99" i="1"/>
  <c r="B99" i="1"/>
  <c r="C99" i="1"/>
  <c r="A98" i="1"/>
  <c r="B98" i="1"/>
  <c r="C98" i="1"/>
  <c r="A97" i="1"/>
  <c r="B97" i="1"/>
  <c r="C97" i="1"/>
  <c r="A96" i="1"/>
  <c r="B96" i="1"/>
  <c r="C96" i="1"/>
  <c r="A95" i="1"/>
  <c r="B95" i="1"/>
  <c r="C95" i="1"/>
  <c r="A94" i="1"/>
  <c r="B94" i="1"/>
  <c r="C94" i="1"/>
  <c r="A93" i="1"/>
  <c r="B93" i="1"/>
  <c r="C93" i="1"/>
  <c r="A92" i="1"/>
  <c r="B92" i="1"/>
  <c r="C92" i="1"/>
  <c r="A91" i="1"/>
  <c r="B91" i="1"/>
  <c r="C91" i="1"/>
  <c r="A90" i="1"/>
  <c r="B90" i="1"/>
  <c r="C90" i="1"/>
  <c r="A89" i="1"/>
  <c r="B89" i="1"/>
  <c r="C89" i="1"/>
  <c r="A88" i="1"/>
  <c r="B88" i="1"/>
  <c r="C88" i="1"/>
  <c r="A87" i="1"/>
  <c r="B87" i="1"/>
  <c r="C87" i="1"/>
  <c r="A86" i="1"/>
  <c r="B86" i="1"/>
  <c r="C86" i="1"/>
  <c r="A85" i="1"/>
  <c r="B85" i="1"/>
  <c r="C85" i="1"/>
  <c r="A84" i="1"/>
  <c r="B84" i="1"/>
  <c r="C84" i="1"/>
  <c r="A83" i="1"/>
  <c r="B83" i="1"/>
  <c r="C83" i="1"/>
  <c r="A82" i="1"/>
  <c r="B82" i="1"/>
  <c r="C82" i="1"/>
  <c r="A81" i="1"/>
  <c r="B81" i="1"/>
  <c r="C81" i="1"/>
  <c r="A80" i="1"/>
  <c r="B80" i="1"/>
  <c r="D80" i="1" s="1"/>
  <c r="C80" i="1"/>
  <c r="A79" i="1"/>
  <c r="B79" i="1"/>
  <c r="C79" i="1"/>
  <c r="A78" i="1"/>
  <c r="B78" i="1"/>
  <c r="C78" i="1"/>
  <c r="A77" i="1"/>
  <c r="D77" i="1" s="1"/>
  <c r="B77" i="1"/>
  <c r="C77" i="1"/>
  <c r="A76" i="1"/>
  <c r="B76" i="1"/>
  <c r="C76" i="1"/>
  <c r="A75" i="1"/>
  <c r="B75" i="1"/>
  <c r="C75" i="1"/>
  <c r="A74" i="1"/>
  <c r="B74" i="1"/>
  <c r="C74" i="1"/>
  <c r="A73" i="1"/>
  <c r="D73" i="1" s="1"/>
  <c r="B73" i="1"/>
  <c r="C73" i="1"/>
  <c r="A72" i="1"/>
  <c r="B72" i="1"/>
  <c r="C72" i="1"/>
  <c r="A71" i="1"/>
  <c r="B71" i="1"/>
  <c r="C71" i="1"/>
  <c r="A70" i="1"/>
  <c r="B70" i="1"/>
  <c r="C70" i="1"/>
  <c r="A69" i="1"/>
  <c r="D69" i="1" s="1"/>
  <c r="B69" i="1"/>
  <c r="C69" i="1"/>
  <c r="A68" i="1"/>
  <c r="B68" i="1"/>
  <c r="C68" i="1"/>
  <c r="A67" i="1"/>
  <c r="B67" i="1"/>
  <c r="C67" i="1"/>
  <c r="A66" i="1"/>
  <c r="B66" i="1"/>
  <c r="C66" i="1"/>
  <c r="A65" i="1"/>
  <c r="D65" i="1" s="1"/>
  <c r="B65" i="1"/>
  <c r="C65" i="1"/>
  <c r="A64" i="1"/>
  <c r="B64" i="1"/>
  <c r="C64" i="1"/>
  <c r="A63" i="1"/>
  <c r="B63" i="1"/>
  <c r="C63" i="1"/>
  <c r="A62" i="1"/>
  <c r="B62" i="1"/>
  <c r="C62" i="1"/>
  <c r="A61" i="1"/>
  <c r="D61" i="1" s="1"/>
  <c r="B61" i="1"/>
  <c r="C61" i="1"/>
  <c r="A60" i="1"/>
  <c r="B60" i="1"/>
  <c r="C60" i="1"/>
  <c r="A59" i="1"/>
  <c r="B59" i="1"/>
  <c r="C59" i="1"/>
  <c r="A58" i="1"/>
  <c r="B58" i="1"/>
  <c r="C58" i="1"/>
  <c r="A57" i="1"/>
  <c r="B57" i="1"/>
  <c r="C57" i="1"/>
  <c r="A56" i="1"/>
  <c r="B56" i="1"/>
  <c r="C56" i="1"/>
  <c r="A55" i="1"/>
  <c r="B55" i="1"/>
  <c r="C55" i="1"/>
  <c r="A54" i="1"/>
  <c r="D54" i="1" s="1"/>
  <c r="B54" i="1"/>
  <c r="C54" i="1"/>
  <c r="A53" i="1"/>
  <c r="B53" i="1"/>
  <c r="C53" i="1"/>
  <c r="A52" i="1"/>
  <c r="B52" i="1"/>
  <c r="C52" i="1"/>
  <c r="A51" i="1"/>
  <c r="B51" i="1"/>
  <c r="C51" i="1"/>
  <c r="A50" i="1"/>
  <c r="B50" i="1"/>
  <c r="C50" i="1"/>
  <c r="A49" i="1"/>
  <c r="B49" i="1"/>
  <c r="C49" i="1"/>
  <c r="A48" i="1"/>
  <c r="B48" i="1"/>
  <c r="C48" i="1"/>
  <c r="A47" i="1"/>
  <c r="B47" i="1"/>
  <c r="C47" i="1"/>
  <c r="A46" i="1"/>
  <c r="B46" i="1"/>
  <c r="C46" i="1"/>
  <c r="A45" i="1"/>
  <c r="B45" i="1"/>
  <c r="C45" i="1"/>
  <c r="A44" i="1"/>
  <c r="B44" i="1"/>
  <c r="C44" i="1"/>
  <c r="A43" i="1"/>
  <c r="B43" i="1"/>
  <c r="C43" i="1"/>
  <c r="A42" i="1"/>
  <c r="D42" i="1" s="1"/>
  <c r="B42" i="1"/>
  <c r="C42" i="1"/>
  <c r="A41" i="1"/>
  <c r="B41" i="1"/>
  <c r="C41" i="1"/>
  <c r="A40" i="1"/>
  <c r="B40" i="1"/>
  <c r="C40" i="1"/>
  <c r="A39" i="1"/>
  <c r="B39" i="1"/>
  <c r="C39" i="1"/>
  <c r="A38" i="1"/>
  <c r="B38" i="1"/>
  <c r="C38" i="1"/>
  <c r="A37" i="1"/>
  <c r="B37" i="1"/>
  <c r="C37" i="1"/>
  <c r="A36" i="1"/>
  <c r="B36" i="1"/>
  <c r="C36" i="1"/>
  <c r="A35" i="1"/>
  <c r="B35" i="1"/>
  <c r="C35" i="1"/>
  <c r="A34" i="1"/>
  <c r="B34" i="1"/>
  <c r="C34" i="1"/>
  <c r="A33" i="1"/>
  <c r="B33" i="1"/>
  <c r="C33" i="1"/>
  <c r="A32" i="1"/>
  <c r="B32" i="1"/>
  <c r="C32" i="1"/>
  <c r="A31" i="1"/>
  <c r="B31" i="1"/>
  <c r="C31" i="1"/>
  <c r="A30" i="1"/>
  <c r="B30" i="1"/>
  <c r="C30" i="1"/>
  <c r="C29" i="1"/>
  <c r="B29" i="1"/>
  <c r="A29" i="1"/>
  <c r="C28" i="1"/>
  <c r="D28" i="1" s="1"/>
  <c r="B28" i="1"/>
  <c r="A28" i="1"/>
  <c r="C27" i="1"/>
  <c r="B27" i="1"/>
  <c r="A27" i="1"/>
  <c r="A26" i="1"/>
  <c r="B26" i="1"/>
  <c r="C26" i="1"/>
  <c r="A25" i="1"/>
  <c r="B25" i="1"/>
  <c r="C25" i="1"/>
  <c r="A24" i="1"/>
  <c r="D24" i="1" s="1"/>
  <c r="B24" i="1"/>
  <c r="C24" i="1"/>
  <c r="A23" i="1"/>
  <c r="B23" i="1"/>
  <c r="C23" i="1"/>
  <c r="A22" i="1"/>
  <c r="D22" i="1" s="1"/>
  <c r="B22" i="1"/>
  <c r="C22" i="1"/>
  <c r="C21" i="1"/>
  <c r="B21" i="1"/>
  <c r="A21" i="1"/>
  <c r="C20" i="1"/>
  <c r="B20" i="1"/>
  <c r="A20" i="1"/>
  <c r="C19" i="1"/>
  <c r="B19" i="1"/>
  <c r="A19" i="1"/>
  <c r="C18" i="1"/>
  <c r="B18" i="1"/>
  <c r="A18" i="1"/>
  <c r="C17" i="1"/>
  <c r="B17" i="1"/>
  <c r="A17" i="1"/>
  <c r="C16" i="1"/>
  <c r="B16" i="1"/>
  <c r="A16" i="1"/>
  <c r="C15" i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D10" i="1" s="1"/>
  <c r="A9" i="1"/>
  <c r="B9" i="1"/>
  <c r="C9" i="1"/>
  <c r="A8" i="1"/>
  <c r="B8" i="1"/>
  <c r="C8" i="1"/>
  <c r="A7" i="1"/>
  <c r="B7" i="1"/>
  <c r="C7" i="1"/>
  <c r="A6" i="1"/>
  <c r="B6" i="1"/>
  <c r="C6" i="1"/>
  <c r="C5" i="1"/>
  <c r="B5" i="1"/>
  <c r="A5" i="1"/>
  <c r="C4" i="1"/>
  <c r="B4" i="1"/>
  <c r="A4" i="1"/>
  <c r="A3" i="1"/>
  <c r="B3" i="1"/>
  <c r="C3" i="1"/>
  <c r="C2" i="1"/>
  <c r="B2" i="1"/>
  <c r="A2" i="1"/>
  <c r="D41" i="1" l="1"/>
  <c r="D9" i="1"/>
  <c r="D53" i="1"/>
  <c r="D129" i="1"/>
  <c r="D133" i="1"/>
  <c r="D157" i="1"/>
  <c r="D161" i="1"/>
  <c r="D165" i="1"/>
  <c r="D169" i="1"/>
  <c r="D8" i="1"/>
  <c r="D40" i="1"/>
  <c r="D52" i="1"/>
  <c r="D56" i="1"/>
  <c r="D60" i="1"/>
  <c r="D64" i="1"/>
  <c r="D68" i="1"/>
  <c r="D72" i="1"/>
  <c r="D76" i="1"/>
  <c r="D100" i="1"/>
  <c r="D104" i="1"/>
  <c r="D108" i="1"/>
  <c r="D116" i="1"/>
  <c r="D120" i="1"/>
  <c r="D124" i="1"/>
  <c r="D128" i="1"/>
  <c r="D132" i="1"/>
  <c r="D156" i="1"/>
  <c r="D160" i="1"/>
  <c r="D164" i="1"/>
  <c r="D168" i="1"/>
  <c r="D3" i="1"/>
  <c r="D51" i="1"/>
  <c r="D55" i="1"/>
  <c r="D131" i="1"/>
  <c r="D155" i="1"/>
  <c r="D159" i="1"/>
  <c r="D163" i="1"/>
  <c r="D167" i="1"/>
  <c r="D197" i="1"/>
  <c r="D26" i="1"/>
  <c r="D38" i="1"/>
  <c r="D45" i="1"/>
  <c r="D49" i="1"/>
  <c r="D59" i="1"/>
  <c r="D63" i="1"/>
  <c r="D67" i="1"/>
  <c r="D71" i="1"/>
  <c r="D75" i="1"/>
  <c r="D82" i="1"/>
  <c r="D87" i="1"/>
  <c r="D91" i="1"/>
  <c r="D95" i="1"/>
  <c r="D99" i="1"/>
  <c r="D103" i="1"/>
  <c r="D107" i="1"/>
  <c r="D138" i="1"/>
  <c r="D142" i="1"/>
  <c r="D146" i="1"/>
  <c r="D150" i="1"/>
  <c r="D154" i="1"/>
  <c r="D174" i="1"/>
  <c r="D178" i="1"/>
  <c r="D182" i="1"/>
  <c r="D184" i="1"/>
  <c r="D188" i="1"/>
  <c r="D192" i="1"/>
  <c r="D196" i="1"/>
  <c r="D202" i="1"/>
  <c r="D6" i="1"/>
  <c r="D14" i="1"/>
  <c r="D20" i="1"/>
  <c r="D25" i="1"/>
  <c r="D32" i="1"/>
  <c r="D33" i="1"/>
  <c r="D37" i="1"/>
  <c r="D58" i="1"/>
  <c r="D62" i="1"/>
  <c r="D66" i="1"/>
  <c r="D70" i="1"/>
  <c r="D74" i="1"/>
  <c r="D78" i="1"/>
  <c r="D81" i="1"/>
  <c r="D102" i="1"/>
  <c r="D106" i="1"/>
  <c r="D126" i="1"/>
  <c r="D173" i="1"/>
  <c r="D177" i="1"/>
  <c r="D181" i="1"/>
  <c r="D201" i="1"/>
  <c r="D5" i="1"/>
  <c r="D44" i="1"/>
  <c r="D86" i="1"/>
  <c r="D94" i="1"/>
  <c r="D115" i="1"/>
  <c r="D153" i="1"/>
  <c r="D187" i="1"/>
  <c r="D191" i="1"/>
  <c r="D195" i="1"/>
  <c r="D209" i="1"/>
  <c r="D213" i="1"/>
  <c r="D36" i="1"/>
  <c r="D119" i="1"/>
  <c r="D145" i="1"/>
  <c r="D12" i="1"/>
  <c r="D30" i="1"/>
  <c r="D48" i="1"/>
  <c r="D90" i="1"/>
  <c r="D98" i="1"/>
  <c r="D137" i="1"/>
  <c r="D141" i="1"/>
  <c r="D149" i="1"/>
  <c r="D16" i="1"/>
  <c r="D18" i="1"/>
  <c r="D23" i="1"/>
  <c r="D35" i="1"/>
  <c r="D43" i="1"/>
  <c r="D47" i="1"/>
  <c r="D57" i="1"/>
  <c r="D85" i="1"/>
  <c r="D89" i="1"/>
  <c r="D93" i="1"/>
  <c r="D97" i="1"/>
  <c r="D118" i="1"/>
  <c r="D122" i="1"/>
  <c r="D136" i="1"/>
  <c r="D140" i="1"/>
  <c r="D144" i="1"/>
  <c r="D148" i="1"/>
  <c r="D152" i="1"/>
  <c r="D186" i="1"/>
  <c r="D190" i="1"/>
  <c r="D194" i="1"/>
  <c r="D208" i="1"/>
  <c r="D212" i="1"/>
  <c r="D7" i="1"/>
  <c r="D11" i="1"/>
  <c r="D15" i="1"/>
  <c r="D21" i="1"/>
  <c r="D29" i="1"/>
  <c r="D34" i="1"/>
  <c r="D46" i="1"/>
  <c r="D50" i="1"/>
  <c r="D84" i="1"/>
  <c r="D88" i="1"/>
  <c r="D92" i="1"/>
  <c r="D96" i="1"/>
  <c r="D117" i="1"/>
  <c r="D121" i="1"/>
  <c r="D139" i="1"/>
  <c r="D143" i="1"/>
  <c r="D147" i="1"/>
  <c r="D151" i="1"/>
  <c r="D185" i="1"/>
  <c r="D189" i="1"/>
  <c r="D193" i="1"/>
  <c r="D207" i="1"/>
  <c r="D211" i="1"/>
  <c r="D83" i="1"/>
  <c r="D114" i="1"/>
  <c r="D135" i="1"/>
  <c r="D183" i="1"/>
  <c r="D4" i="1"/>
  <c r="D13" i="1"/>
  <c r="D17" i="1"/>
  <c r="D19" i="1"/>
  <c r="D31" i="1"/>
  <c r="D39" i="1"/>
  <c r="D79" i="1"/>
  <c r="D109" i="1"/>
  <c r="D123" i="1"/>
  <c r="D127" i="1"/>
  <c r="D170" i="1"/>
  <c r="D198" i="1"/>
  <c r="D214" i="1"/>
  <c r="D215" i="1"/>
  <c r="D27" i="1"/>
  <c r="D2" i="1"/>
</calcChain>
</file>

<file path=xl/sharedStrings.xml><?xml version="1.0" encoding="utf-8"?>
<sst xmlns="http://schemas.openxmlformats.org/spreadsheetml/2006/main" count="674" uniqueCount="470">
  <si>
    <t>R</t>
  </si>
  <si>
    <t>G</t>
  </si>
  <si>
    <t>B</t>
  </si>
  <si>
    <t>Hex</t>
  </si>
  <si>
    <t>Color</t>
  </si>
  <si>
    <t>Enter Hex</t>
  </si>
  <si>
    <t>f98866</t>
  </si>
  <si>
    <t>ff420e</t>
  </si>
  <si>
    <t>80bd9e</t>
  </si>
  <si>
    <t>89da59</t>
  </si>
  <si>
    <t>Color 1</t>
  </si>
  <si>
    <t>Color 2</t>
  </si>
  <si>
    <t>Color 3</t>
  </si>
  <si>
    <t>Color 4</t>
  </si>
  <si>
    <t>Name</t>
  </si>
  <si>
    <t>Family</t>
  </si>
  <si>
    <t>Family ID</t>
  </si>
  <si>
    <t>Fresh &amp; Bright</t>
  </si>
  <si>
    <t>petal</t>
  </si>
  <si>
    <t>poppy</t>
  </si>
  <si>
    <t>stem</t>
  </si>
  <si>
    <t>spring green</t>
  </si>
  <si>
    <t>90afc5</t>
  </si>
  <si>
    <t>336b87</t>
  </si>
  <si>
    <t>2a3132</t>
  </si>
  <si>
    <t>mist</t>
  </si>
  <si>
    <t>stone</t>
  </si>
  <si>
    <t>shadow</t>
  </si>
  <si>
    <t>autumn foliage</t>
  </si>
  <si>
    <t>Subdued &amp; Professional</t>
  </si>
  <si>
    <t>https://designschool.canva.com/blog/100-color-combinations/</t>
  </si>
  <si>
    <t>crevice</t>
  </si>
  <si>
    <t>46211a</t>
  </si>
  <si>
    <t>693d3d</t>
  </si>
  <si>
    <t>ba5536</t>
  </si>
  <si>
    <t>a43820</t>
  </si>
  <si>
    <t>Dark &amp; Earthy</t>
  </si>
  <si>
    <t>cloud shadow</t>
  </si>
  <si>
    <t>desert</t>
  </si>
  <si>
    <t>red clay</t>
  </si>
  <si>
    <t>68829e</t>
  </si>
  <si>
    <t>aebd38</t>
  </si>
  <si>
    <t>Crispy &amp; Dramatic</t>
  </si>
  <si>
    <t>thunder cloud</t>
  </si>
  <si>
    <t>waterfall</t>
  </si>
  <si>
    <t>moss</t>
  </si>
  <si>
    <t>meadow</t>
  </si>
  <si>
    <t>003b46</t>
  </si>
  <si>
    <t>07575b</t>
  </si>
  <si>
    <t>66a5ad</t>
  </si>
  <si>
    <t>c4dfe6</t>
  </si>
  <si>
    <t>Cool Blues</t>
  </si>
  <si>
    <t>deep aqua</t>
  </si>
  <si>
    <t>ocean</t>
  </si>
  <si>
    <t>wave</t>
  </si>
  <si>
    <t>seafoam</t>
  </si>
  <si>
    <t>2e4600</t>
  </si>
  <si>
    <t>486b00</t>
  </si>
  <si>
    <t>a2c523</t>
  </si>
  <si>
    <t>7d4427</t>
  </si>
  <si>
    <t>Outdoorsy &amp; Natural</t>
  </si>
  <si>
    <t>forest green</t>
  </si>
  <si>
    <t>grass</t>
  </si>
  <si>
    <t>lime</t>
  </si>
  <si>
    <t>earth</t>
  </si>
  <si>
    <t>021c1e</t>
  </si>
  <si>
    <t>2c7873</t>
  </si>
  <si>
    <t>6fb98f</t>
  </si>
  <si>
    <t>004445</t>
  </si>
  <si>
    <t>Water Blue-Greens</t>
  </si>
  <si>
    <t>blue black</t>
  </si>
  <si>
    <t>cadet blue</t>
  </si>
  <si>
    <t>rain</t>
  </si>
  <si>
    <t>greenery</t>
  </si>
  <si>
    <t>375e97</t>
  </si>
  <si>
    <t>fb6542</t>
  </si>
  <si>
    <t>ffbb00</t>
  </si>
  <si>
    <t>3f681c</t>
  </si>
  <si>
    <t>Vibrant Primary Colors</t>
  </si>
  <si>
    <t>sky</t>
  </si>
  <si>
    <t>sunset</t>
  </si>
  <si>
    <t>sunflower</t>
  </si>
  <si>
    <t>98dbc6</t>
  </si>
  <si>
    <t>5bc8ac</t>
  </si>
  <si>
    <t>e6d72a</t>
  </si>
  <si>
    <t>f18d9e</t>
  </si>
  <si>
    <t>Refreshing &amp; Pretty</t>
  </si>
  <si>
    <t>aquamarine</t>
  </si>
  <si>
    <t>turquoise</t>
  </si>
  <si>
    <t>canary yellow</t>
  </si>
  <si>
    <t>pink tulip</t>
  </si>
  <si>
    <t>324851</t>
  </si>
  <si>
    <t>86ac41</t>
  </si>
  <si>
    <t>34675c</t>
  </si>
  <si>
    <t>7da3a1</t>
  </si>
  <si>
    <t>Playful Green &amp; Blues</t>
  </si>
  <si>
    <t>blue pine</t>
  </si>
  <si>
    <t>new grass</t>
  </si>
  <si>
    <t>reflection</t>
  </si>
  <si>
    <t>4cb5f5</t>
  </si>
  <si>
    <t>b7b8b6</t>
  </si>
  <si>
    <t>b3c100</t>
  </si>
  <si>
    <t>Fresh &amp; Energetic</t>
  </si>
  <si>
    <t>blue sky</t>
  </si>
  <si>
    <t>granite</t>
  </si>
  <si>
    <t>pine</t>
  </si>
  <si>
    <t>fields</t>
  </si>
  <si>
    <t>f4cc70</t>
  </si>
  <si>
    <t>de7a22</t>
  </si>
  <si>
    <t>20948b</t>
  </si>
  <si>
    <t>6ab187</t>
  </si>
  <si>
    <t>Surf &amp; Turf</t>
  </si>
  <si>
    <t>sandstone</t>
  </si>
  <si>
    <t>burnt orange</t>
  </si>
  <si>
    <t>lagoon</t>
  </si>
  <si>
    <t>8d230f</t>
  </si>
  <si>
    <t>1e434c</t>
  </si>
  <si>
    <t>9b4f0f</t>
  </si>
  <si>
    <t>c99e10</t>
  </si>
  <si>
    <t>Autumn in Vermont</t>
  </si>
  <si>
    <t>crimson</t>
  </si>
  <si>
    <t>rust</t>
  </si>
  <si>
    <t>gold</t>
  </si>
  <si>
    <t>f1f1f2</t>
  </si>
  <si>
    <t>bcbabe</t>
  </si>
  <si>
    <t>a1d6e2</t>
  </si>
  <si>
    <t>1995ad</t>
  </si>
  <si>
    <t>Icy Blues and Grays</t>
  </si>
  <si>
    <t>overcast</t>
  </si>
  <si>
    <t>warm gray</t>
  </si>
  <si>
    <t>ice</t>
  </si>
  <si>
    <t>glacier blue</t>
  </si>
  <si>
    <t>9a9eab</t>
  </si>
  <si>
    <t>5d535e</t>
  </si>
  <si>
    <t>ec96a4</t>
  </si>
  <si>
    <t>dfe166</t>
  </si>
  <si>
    <t>Birds &amp; Berries</t>
  </si>
  <si>
    <t>lavender gray</t>
  </si>
  <si>
    <t>branch</t>
  </si>
  <si>
    <t>berry</t>
  </si>
  <si>
    <t>yellow feathers</t>
  </si>
  <si>
    <t>011a27</t>
  </si>
  <si>
    <t>063852</t>
  </si>
  <si>
    <t>f0810f</t>
  </si>
  <si>
    <t>e6df44</t>
  </si>
  <si>
    <t>Day &amp; Night</t>
  </si>
  <si>
    <t>dark navy</t>
  </si>
  <si>
    <t>blueberry</t>
  </si>
  <si>
    <t>tangerine</t>
  </si>
  <si>
    <t>daffodil</t>
  </si>
  <si>
    <t>75b1a9</t>
  </si>
  <si>
    <t>d9b44a</t>
  </si>
  <si>
    <t>4f6457</t>
  </si>
  <si>
    <t>acd0c0</t>
  </si>
  <si>
    <t>Stylish &amp; Retro</t>
  </si>
  <si>
    <t>sunglow</t>
  </si>
  <si>
    <t>mountains</t>
  </si>
  <si>
    <t>eb8a44</t>
  </si>
  <si>
    <t>f9dc24</t>
  </si>
  <si>
    <t>yellow</t>
  </si>
  <si>
    <t>4b7447</t>
  </si>
  <si>
    <t>8eba43</t>
  </si>
  <si>
    <t>orange</t>
  </si>
  <si>
    <t>olive green</t>
  </si>
  <si>
    <t>Shades of Citrus</t>
  </si>
  <si>
    <t>363237</t>
  </si>
  <si>
    <t>2d4262</t>
  </si>
  <si>
    <t>73605b</t>
  </si>
  <si>
    <t>d09683</t>
  </si>
  <si>
    <t>Sunset to Dusk</t>
  </si>
  <si>
    <t>deep purple</t>
  </si>
  <si>
    <t>indigo</t>
  </si>
  <si>
    <t>taupe</t>
  </si>
  <si>
    <t>blush</t>
  </si>
  <si>
    <t>f52549</t>
  </si>
  <si>
    <t>fa6775</t>
  </si>
  <si>
    <t>ffd64d</t>
  </si>
  <si>
    <t>pollen</t>
  </si>
  <si>
    <t>9bc01c</t>
  </si>
  <si>
    <t>hot pink</t>
  </si>
  <si>
    <t>bubblegum</t>
  </si>
  <si>
    <t>chartreuse</t>
  </si>
  <si>
    <t>Bright &amp; Tropical</t>
  </si>
  <si>
    <t>2e2300</t>
  </si>
  <si>
    <t>6e6702</t>
  </si>
  <si>
    <t>c05805</t>
  </si>
  <si>
    <t>db9501</t>
  </si>
  <si>
    <t>Warm Naturals</t>
  </si>
  <si>
    <t>bark</t>
  </si>
  <si>
    <t>seaweed green</t>
  </si>
  <si>
    <t>bronze</t>
  </si>
  <si>
    <t>goldenrod</t>
  </si>
  <si>
    <t>50312f</t>
  </si>
  <si>
    <t>cb0000</t>
  </si>
  <si>
    <t>e4ea8c</t>
  </si>
  <si>
    <t>3f6c45</t>
  </si>
  <si>
    <t>Bold Berries</t>
  </si>
  <si>
    <t>eggplant</t>
  </si>
  <si>
    <t>strawberry</t>
  </si>
  <si>
    <t>lemon lime</t>
  </si>
  <si>
    <t>basil green</t>
  </si>
  <si>
    <t>34888c</t>
  </si>
  <si>
    <t>7caa2d</t>
  </si>
  <si>
    <t>f5e356</t>
  </si>
  <si>
    <t>seeds</t>
  </si>
  <si>
    <t>cb6318</t>
  </si>
  <si>
    <t>blue</t>
  </si>
  <si>
    <t>leafy green</t>
  </si>
  <si>
    <t>Summer Sunflower</t>
  </si>
  <si>
    <t>0f1b07</t>
  </si>
  <si>
    <t>ffffff</t>
  </si>
  <si>
    <t>5c821a</t>
  </si>
  <si>
    <t>c6d166</t>
  </si>
  <si>
    <t>Modern &amp; Crisp</t>
  </si>
  <si>
    <t>deep green</t>
  </si>
  <si>
    <t>white</t>
  </si>
  <si>
    <t>plants</t>
  </si>
  <si>
    <t>new growth</t>
  </si>
  <si>
    <t>00293c</t>
  </si>
  <si>
    <t>1e656d</t>
  </si>
  <si>
    <t>f1f3ce</t>
  </si>
  <si>
    <t>f62a00</t>
  </si>
  <si>
    <t>Timeless &amp; Nautical</t>
  </si>
  <si>
    <t>navy</t>
  </si>
  <si>
    <t>peacock blue</t>
  </si>
  <si>
    <t>ivory</t>
  </si>
  <si>
    <t>candy apple</t>
  </si>
  <si>
    <t>626d71</t>
  </si>
  <si>
    <t>cdcdc0</t>
  </si>
  <si>
    <t>ddbc95</t>
  </si>
  <si>
    <t>b38867</t>
  </si>
  <si>
    <t>Neutral &amp; Versatile</t>
  </si>
  <si>
    <t>slate</t>
  </si>
  <si>
    <t>ceramic</t>
  </si>
  <si>
    <t>latte</t>
  </si>
  <si>
    <t>coffee</t>
  </si>
  <si>
    <t>258039</t>
  </si>
  <si>
    <t>f5be41</t>
  </si>
  <si>
    <t>31a9b8</t>
  </si>
  <si>
    <t>cf3721</t>
  </si>
  <si>
    <t>Cheerful Brights</t>
  </si>
  <si>
    <t>avocado</t>
  </si>
  <si>
    <t>yellow pepper</t>
  </si>
  <si>
    <t>aqua blue</t>
  </si>
  <si>
    <t>tomato</t>
  </si>
  <si>
    <t>ee693f</t>
  </si>
  <si>
    <t>f69454</t>
  </si>
  <si>
    <t>fcfdfe</t>
  </si>
  <si>
    <t>739f3d</t>
  </si>
  <si>
    <t>Garden Fresh</t>
  </si>
  <si>
    <t>carrot</t>
  </si>
  <si>
    <t>off white</t>
  </si>
  <si>
    <t>pear green</t>
  </si>
  <si>
    <t>b9d9c3</t>
  </si>
  <si>
    <t>752a07</t>
  </si>
  <si>
    <t>fbcb7b</t>
  </si>
  <si>
    <t>eb5e30</t>
  </si>
  <si>
    <t>Summer Barbeque</t>
  </si>
  <si>
    <t>mint</t>
  </si>
  <si>
    <t>charred</t>
  </si>
  <si>
    <t>toasted</t>
  </si>
  <si>
    <t>1e1f26</t>
  </si>
  <si>
    <t>283655</t>
  </si>
  <si>
    <t>4d648d</t>
  </si>
  <si>
    <t>d0e1f9</t>
  </si>
  <si>
    <t>midnight blue</t>
  </si>
  <si>
    <t>indigo ink</t>
  </si>
  <si>
    <t>periwinkle</t>
  </si>
  <si>
    <t>Berry Blues</t>
  </si>
  <si>
    <t>f70025</t>
  </si>
  <si>
    <t>f7efe2</t>
  </si>
  <si>
    <t>f25c00</t>
  </si>
  <si>
    <t>f9a603</t>
  </si>
  <si>
    <t>Lemonade Stand</t>
  </si>
  <si>
    <t>cherry red</t>
  </si>
  <si>
    <t>marmalade</t>
  </si>
  <si>
    <t>orange juice</t>
  </si>
  <si>
    <t>a1be95</t>
  </si>
  <si>
    <t>e2dfa2</t>
  </si>
  <si>
    <t>92aac7</t>
  </si>
  <si>
    <t>ed5752</t>
  </si>
  <si>
    <t>Serene &amp; Spa</t>
  </si>
  <si>
    <t>sage</t>
  </si>
  <si>
    <t>honeydew</t>
  </si>
  <si>
    <t>bluebell</t>
  </si>
  <si>
    <t>raspberry</t>
  </si>
  <si>
    <t>4897d8</t>
  </si>
  <si>
    <t>ffdb5c</t>
  </si>
  <si>
    <t>fa6e59</t>
  </si>
  <si>
    <t>f8a055</t>
  </si>
  <si>
    <t>Fun &amp; Tropical</t>
  </si>
  <si>
    <t>electric blue</t>
  </si>
  <si>
    <t>banana</t>
  </si>
  <si>
    <t>watermelon</t>
  </si>
  <si>
    <t>canteloupe</t>
  </si>
  <si>
    <t>af4425</t>
  </si>
  <si>
    <t>662e1c</t>
  </si>
  <si>
    <t>ebdcb2</t>
  </si>
  <si>
    <t>c9a66b</t>
  </si>
  <si>
    <t>Spicy Neutrals</t>
  </si>
  <si>
    <t>cayenne</t>
  </si>
  <si>
    <t>cinnamon</t>
  </si>
  <si>
    <t>cream</t>
  </si>
  <si>
    <t>caramel</t>
  </si>
  <si>
    <t>c1e1dc</t>
  </si>
  <si>
    <t>ffccac</t>
  </si>
  <si>
    <t>ffeb94</t>
  </si>
  <si>
    <t>fdd475</t>
  </si>
  <si>
    <t>Pastels</t>
  </si>
  <si>
    <t>baby blue</t>
  </si>
  <si>
    <t>peach</t>
  </si>
  <si>
    <t>butter</t>
  </si>
  <si>
    <t>butterscotch</t>
  </si>
  <si>
    <t>4c3f54</t>
  </si>
  <si>
    <t>d13525</t>
  </si>
  <si>
    <t>f2c057</t>
  </si>
  <si>
    <t>486824</t>
  </si>
  <si>
    <t>Bold &amp; Cultured</t>
  </si>
  <si>
    <t>fig</t>
  </si>
  <si>
    <t>apple red</t>
  </si>
  <si>
    <t>swiss cheese</t>
  </si>
  <si>
    <t>basil</t>
  </si>
  <si>
    <t>faaf08</t>
  </si>
  <si>
    <t>fa812f</t>
  </si>
  <si>
    <t>fa4032</t>
  </si>
  <si>
    <t>fef3e2</t>
  </si>
  <si>
    <t>Sunny Citrus</t>
  </si>
  <si>
    <t>citrus</t>
  </si>
  <si>
    <t>grapefruit</t>
  </si>
  <si>
    <t>ruby red</t>
  </si>
  <si>
    <t>Crispy Complementary Colors</t>
  </si>
  <si>
    <t>f4ec6a</t>
  </si>
  <si>
    <t>golden delicious</t>
  </si>
  <si>
    <t>granny smith</t>
  </si>
  <si>
    <t>bbcf4a</t>
  </si>
  <si>
    <t>e73f0b</t>
  </si>
  <si>
    <t>a11f0c</t>
  </si>
  <si>
    <t>ripe apple</t>
  </si>
  <si>
    <t>red delicious</t>
  </si>
  <si>
    <t>fef2e4</t>
  </si>
  <si>
    <t>fd974f</t>
  </si>
  <si>
    <t>c60000</t>
  </si>
  <si>
    <t>805a3b</t>
  </si>
  <si>
    <t>Warm &amp; Rustic</t>
  </si>
  <si>
    <t>mushroom</t>
  </si>
  <si>
    <t>onion</t>
  </si>
  <si>
    <t>red pepper</t>
  </si>
  <si>
    <t>driftwood</t>
  </si>
  <si>
    <t>f77604</t>
  </si>
  <si>
    <t>b8d20b</t>
  </si>
  <si>
    <t>f56c57</t>
  </si>
  <si>
    <t>231b12</t>
  </si>
  <si>
    <t>Neon Night</t>
  </si>
  <si>
    <t>caviar</t>
  </si>
  <si>
    <t>lettuce</t>
  </si>
  <si>
    <t>salmon</t>
  </si>
  <si>
    <t>black seaweed</t>
  </si>
  <si>
    <t>7f152e</t>
  </si>
  <si>
    <t>d61800</t>
  </si>
  <si>
    <t>edae01</t>
  </si>
  <si>
    <t>e94f08</t>
  </si>
  <si>
    <t>Jewel Tones</t>
  </si>
  <si>
    <t>purple onion</t>
  </si>
  <si>
    <t>ripe tomato</t>
  </si>
  <si>
    <t>lemon</t>
  </si>
  <si>
    <t>spices</t>
  </si>
  <si>
    <t>eae2d6</t>
  </si>
  <si>
    <t>linen</t>
  </si>
  <si>
    <t>Polished &amp; Inviting</t>
  </si>
  <si>
    <t>d5c3aa</t>
  </si>
  <si>
    <t>867666</t>
  </si>
  <si>
    <t>e1b80d</t>
  </si>
  <si>
    <t>oyster</t>
  </si>
  <si>
    <t>pewter</t>
  </si>
  <si>
    <t>lemon tea</t>
  </si>
  <si>
    <t>emerald</t>
  </si>
  <si>
    <t>265c00</t>
  </si>
  <si>
    <t>68a225</t>
  </si>
  <si>
    <t>b3de81</t>
  </si>
  <si>
    <t>fdffff</t>
  </si>
  <si>
    <t>green bean</t>
  </si>
  <si>
    <t>light green</t>
  </si>
  <si>
    <t>cotton</t>
  </si>
  <si>
    <t>Fresh Greens</t>
  </si>
  <si>
    <t>a10115</t>
  </si>
  <si>
    <t>d72c16</t>
  </si>
  <si>
    <t>f0efea</t>
  </si>
  <si>
    <t>c0b2b5</t>
  </si>
  <si>
    <t>Wintery Reds</t>
  </si>
  <si>
    <t>chiffon</t>
  </si>
  <si>
    <t>smoke</t>
  </si>
  <si>
    <t>c7db00</t>
  </si>
  <si>
    <t>7aa802</t>
  </si>
  <si>
    <t>f78b2d</t>
  </si>
  <si>
    <t>e4b600</t>
  </si>
  <si>
    <t>cilantro</t>
  </si>
  <si>
    <t>lox</t>
  </si>
  <si>
    <t>toast</t>
  </si>
  <si>
    <t>Summer Fiesta</t>
  </si>
  <si>
    <t>301b28</t>
  </si>
  <si>
    <t>523634</t>
  </si>
  <si>
    <t>b6452c</t>
  </si>
  <si>
    <t>ddc5a2</t>
  </si>
  <si>
    <t>Chocolaty Browns</t>
  </si>
  <si>
    <t>cocoa</t>
  </si>
  <si>
    <t>chocolate</t>
  </si>
  <si>
    <t>toffee</t>
  </si>
  <si>
    <t>frosting</t>
  </si>
  <si>
    <t>ebdf00</t>
  </si>
  <si>
    <t>yellow pear</t>
  </si>
  <si>
    <t>7e7b15</t>
  </si>
  <si>
    <t>563e20</t>
  </si>
  <si>
    <t>b38540</t>
  </si>
  <si>
    <t>moss green</t>
  </si>
  <si>
    <t>umber</t>
  </si>
  <si>
    <t>Naturally Elegant</t>
  </si>
  <si>
    <t>662225</t>
  </si>
  <si>
    <t>b51d0a</t>
  </si>
  <si>
    <t>ead39c</t>
  </si>
  <si>
    <t>7d5e3c</t>
  </si>
  <si>
    <t>Cozy &amp; Warm</t>
  </si>
  <si>
    <t>red onion</t>
  </si>
  <si>
    <t>spicy</t>
  </si>
  <si>
    <t>parsnip</t>
  </si>
  <si>
    <t>peppercorn</t>
  </si>
  <si>
    <t>4b4345</t>
  </si>
  <si>
    <t>556dac</t>
  </si>
  <si>
    <t>f79b77</t>
  </si>
  <si>
    <t>755248</t>
  </si>
  <si>
    <t>Violet Sunset</t>
  </si>
  <si>
    <t>stoneground</t>
  </si>
  <si>
    <t>lapis</t>
  </si>
  <si>
    <t>d8412f</t>
  </si>
  <si>
    <t>fe7a47</t>
  </si>
  <si>
    <t>f5ca99</t>
  </si>
  <si>
    <t>Strawberries &amp; Cream</t>
  </si>
  <si>
    <t>papaya</t>
  </si>
  <si>
    <t>milk</t>
  </si>
  <si>
    <t>granola</t>
  </si>
  <si>
    <t>CoreLogic</t>
  </si>
  <si>
    <t>bright blue</t>
  </si>
  <si>
    <t>green</t>
  </si>
  <si>
    <t>red</t>
  </si>
  <si>
    <t>dark gray</t>
  </si>
  <si>
    <t>divider gray</t>
  </si>
  <si>
    <t>medium gray</t>
  </si>
  <si>
    <t>button gray</t>
  </si>
  <si>
    <t>frawer gray</t>
  </si>
  <si>
    <t>background gray</t>
  </si>
  <si>
    <t>222222</t>
  </si>
  <si>
    <t>006699</t>
  </si>
  <si>
    <t>0088cc</t>
  </si>
  <si>
    <t>539536</t>
  </si>
  <si>
    <t>e7ab08</t>
  </si>
  <si>
    <t>e03c31</t>
  </si>
  <si>
    <t>ce534b</t>
  </si>
  <si>
    <t>f37021</t>
  </si>
  <si>
    <t>38424a</t>
  </si>
  <si>
    <t>d9d9d9</t>
  </si>
  <si>
    <t>ededed</t>
  </si>
  <si>
    <t>eeeeee</t>
  </si>
  <si>
    <t>f9f9fb</t>
  </si>
  <si>
    <t>f8f9f9</t>
  </si>
  <si>
    <t>http://www.perbang.dk/rgbgradient/</t>
  </si>
  <si>
    <t>336B87</t>
  </si>
  <si>
    <t>46211A</t>
  </si>
  <si>
    <t>693D3D</t>
  </si>
  <si>
    <t>BA5536</t>
  </si>
  <si>
    <t>A43820</t>
  </si>
  <si>
    <t>Dan's Bulletin Colors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</si>
</sst>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</fonts>
  <fills count="214">
    <fill>
      <patternFill patternType="none"/>
    </fill>
    <fill>
      <patternFill patternType="gray125"/>
    </fill>
    <fill>
      <patternFill patternType="solid">
        <fgColor rgb="FFF98866"/>
        <bgColor indexed="64"/>
      </patternFill>
    </fill>
    <fill>
      <patternFill patternType="solid">
        <fgColor rgb="FFFF420E"/>
        <bgColor indexed="64"/>
      </patternFill>
    </fill>
    <fill>
      <patternFill patternType="solid">
        <fgColor rgb="FF80BD9E"/>
        <bgColor indexed="64"/>
      </patternFill>
    </fill>
    <fill>
      <patternFill patternType="solid">
        <fgColor rgb="FF89DA59"/>
        <bgColor indexed="64"/>
      </patternFill>
    </fill>
    <fill>
      <patternFill patternType="solid">
        <fgColor rgb="FF90AFC5"/>
        <bgColor indexed="64"/>
      </patternFill>
    </fill>
    <fill>
      <patternFill patternType="solid">
        <fgColor rgb="FF336B87"/>
        <bgColor indexed="64"/>
      </patternFill>
    </fill>
    <fill>
      <patternFill patternType="solid">
        <fgColor rgb="FF2A3132"/>
        <bgColor indexed="64"/>
      </patternFill>
    </fill>
    <fill>
      <patternFill patternType="solid">
        <fgColor rgb="FF763626"/>
        <bgColor indexed="64"/>
      </patternFill>
    </fill>
    <fill>
      <patternFill patternType="solid">
        <fgColor rgb="FF46211A"/>
        <bgColor indexed="64"/>
      </patternFill>
    </fill>
    <fill>
      <patternFill patternType="solid">
        <fgColor rgb="FF693D3D"/>
        <bgColor indexed="64"/>
      </patternFill>
    </fill>
    <fill>
      <patternFill patternType="solid">
        <fgColor rgb="FFBA5536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505160"/>
        <bgColor indexed="64"/>
      </patternFill>
    </fill>
    <fill>
      <patternFill patternType="solid">
        <fgColor rgb="FF68829E"/>
        <bgColor indexed="64"/>
      </patternFill>
    </fill>
    <fill>
      <patternFill patternType="solid">
        <fgColor rgb="FFAEBD38"/>
        <bgColor indexed="64"/>
      </patternFill>
    </fill>
    <fill>
      <patternFill patternType="solid">
        <fgColor rgb="FF598234"/>
        <bgColor indexed="64"/>
      </patternFill>
    </fill>
    <fill>
      <patternFill patternType="solid">
        <fgColor rgb="FF003B46"/>
        <bgColor indexed="64"/>
      </patternFill>
    </fill>
    <fill>
      <patternFill patternType="solid">
        <fgColor rgb="FF07575B"/>
        <bgColor indexed="64"/>
      </patternFill>
    </fill>
    <fill>
      <patternFill patternType="solid">
        <fgColor rgb="FF66A5AD"/>
        <bgColor indexed="64"/>
      </patternFill>
    </fill>
    <fill>
      <patternFill patternType="solid">
        <fgColor rgb="FFC4DFE6"/>
        <bgColor indexed="64"/>
      </patternFill>
    </fill>
    <fill>
      <patternFill patternType="solid">
        <fgColor rgb="FF2E4600"/>
        <bgColor indexed="64"/>
      </patternFill>
    </fill>
    <fill>
      <patternFill patternType="solid">
        <fgColor rgb="FF486B00"/>
        <bgColor indexed="64"/>
      </patternFill>
    </fill>
    <fill>
      <patternFill patternType="solid">
        <fgColor rgb="FFA2C523"/>
        <bgColor indexed="64"/>
      </patternFill>
    </fill>
    <fill>
      <patternFill patternType="solid">
        <fgColor rgb="FF7D4427"/>
        <bgColor indexed="64"/>
      </patternFill>
    </fill>
    <fill>
      <patternFill patternType="solid">
        <fgColor rgb="FF021C1E"/>
        <bgColor indexed="64"/>
      </patternFill>
    </fill>
    <fill>
      <patternFill patternType="solid">
        <fgColor rgb="FF2C7873"/>
        <bgColor indexed="64"/>
      </patternFill>
    </fill>
    <fill>
      <patternFill patternType="solid">
        <fgColor rgb="FF6FB98F"/>
        <bgColor indexed="64"/>
      </patternFill>
    </fill>
    <fill>
      <patternFill patternType="solid">
        <fgColor rgb="FF004445"/>
        <bgColor indexed="64"/>
      </patternFill>
    </fill>
    <fill>
      <patternFill patternType="solid">
        <fgColor rgb="FF375E97"/>
        <bgColor indexed="64"/>
      </patternFill>
    </fill>
    <fill>
      <patternFill patternType="solid">
        <fgColor rgb="FFFB6542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3F681C"/>
        <bgColor indexed="64"/>
      </patternFill>
    </fill>
    <fill>
      <patternFill patternType="solid">
        <fgColor rgb="FF98DBC6"/>
        <bgColor indexed="64"/>
      </patternFill>
    </fill>
    <fill>
      <patternFill patternType="solid">
        <fgColor rgb="FF5BC8AC"/>
        <bgColor indexed="64"/>
      </patternFill>
    </fill>
    <fill>
      <patternFill patternType="solid">
        <fgColor rgb="FFE6D72A"/>
        <bgColor indexed="64"/>
      </patternFill>
    </fill>
    <fill>
      <patternFill patternType="solid">
        <fgColor rgb="FFF18D9E"/>
        <bgColor indexed="64"/>
      </patternFill>
    </fill>
    <fill>
      <patternFill patternType="solid">
        <fgColor rgb="FF324851"/>
        <bgColor indexed="64"/>
      </patternFill>
    </fill>
    <fill>
      <patternFill patternType="solid">
        <fgColor rgb="FF86AC41"/>
        <bgColor indexed="64"/>
      </patternFill>
    </fill>
    <fill>
      <patternFill patternType="solid">
        <fgColor rgb="FF34675C"/>
        <bgColor indexed="64"/>
      </patternFill>
    </fill>
    <fill>
      <patternFill patternType="solid">
        <fgColor rgb="FF7DA3A1"/>
        <bgColor indexed="64"/>
      </patternFill>
    </fill>
    <fill>
      <patternFill patternType="solid">
        <fgColor rgb="FF4CB5F5"/>
        <bgColor indexed="64"/>
      </patternFill>
    </fill>
    <fill>
      <patternFill patternType="solid">
        <fgColor rgb="FFB7B8B6"/>
        <bgColor indexed="64"/>
      </patternFill>
    </fill>
    <fill>
      <patternFill patternType="solid">
        <fgColor rgb="FFB3C100"/>
        <bgColor indexed="64"/>
      </patternFill>
    </fill>
    <fill>
      <patternFill patternType="solid">
        <fgColor rgb="FFF4CC70"/>
        <bgColor indexed="64"/>
      </patternFill>
    </fill>
    <fill>
      <patternFill patternType="solid">
        <fgColor rgb="FFDE7A22"/>
        <bgColor indexed="64"/>
      </patternFill>
    </fill>
    <fill>
      <patternFill patternType="solid">
        <fgColor rgb="FF20948B"/>
        <bgColor indexed="64"/>
      </patternFill>
    </fill>
    <fill>
      <patternFill patternType="solid">
        <fgColor rgb="FF6AB187"/>
        <bgColor indexed="64"/>
      </patternFill>
    </fill>
    <fill>
      <patternFill patternType="solid">
        <fgColor rgb="FF8D230F"/>
        <bgColor indexed="64"/>
      </patternFill>
    </fill>
    <fill>
      <patternFill patternType="solid">
        <fgColor rgb="FF1E434C"/>
        <bgColor indexed="64"/>
      </patternFill>
    </fill>
    <fill>
      <patternFill patternType="solid">
        <fgColor rgb="FF9B4F0F"/>
        <bgColor indexed="64"/>
      </patternFill>
    </fill>
    <fill>
      <patternFill patternType="solid">
        <fgColor rgb="FFC99E10"/>
        <bgColor indexed="64"/>
      </patternFill>
    </fill>
    <fill>
      <patternFill patternType="solid">
        <fgColor rgb="FFF1F1F2"/>
        <bgColor indexed="64"/>
      </patternFill>
    </fill>
    <fill>
      <patternFill patternType="solid">
        <fgColor rgb="FFBCBABE"/>
        <bgColor indexed="64"/>
      </patternFill>
    </fill>
    <fill>
      <patternFill patternType="solid">
        <fgColor rgb="FFA1D6E2"/>
        <bgColor indexed="64"/>
      </patternFill>
    </fill>
    <fill>
      <patternFill patternType="solid">
        <fgColor rgb="FF1995AD"/>
        <bgColor indexed="64"/>
      </patternFill>
    </fill>
    <fill>
      <patternFill patternType="solid">
        <fgColor rgb="FF9A9EAB"/>
        <bgColor indexed="64"/>
      </patternFill>
    </fill>
    <fill>
      <patternFill patternType="solid">
        <fgColor rgb="FF5D535E"/>
        <bgColor indexed="64"/>
      </patternFill>
    </fill>
    <fill>
      <patternFill patternType="solid">
        <fgColor rgb="FFEC96A4"/>
        <bgColor indexed="64"/>
      </patternFill>
    </fill>
    <fill>
      <patternFill patternType="solid">
        <fgColor rgb="FFDFE166"/>
        <bgColor indexed="64"/>
      </patternFill>
    </fill>
    <fill>
      <patternFill patternType="solid">
        <fgColor rgb="FF011A27"/>
        <bgColor indexed="64"/>
      </patternFill>
    </fill>
    <fill>
      <patternFill patternType="solid">
        <fgColor rgb="FF063852"/>
        <bgColor indexed="64"/>
      </patternFill>
    </fill>
    <fill>
      <patternFill patternType="solid">
        <fgColor rgb="FFF0810F"/>
        <bgColor indexed="64"/>
      </patternFill>
    </fill>
    <fill>
      <patternFill patternType="solid">
        <fgColor rgb="FFE6DF44"/>
        <bgColor indexed="64"/>
      </patternFill>
    </fill>
    <fill>
      <patternFill patternType="solid">
        <fgColor rgb="FF75B1A9"/>
        <bgColor indexed="64"/>
      </patternFill>
    </fill>
    <fill>
      <patternFill patternType="solid">
        <fgColor rgb="FFD9B44A"/>
        <bgColor indexed="64"/>
      </patternFill>
    </fill>
    <fill>
      <patternFill patternType="solid">
        <fgColor rgb="FF4F6457"/>
        <bgColor indexed="64"/>
      </patternFill>
    </fill>
    <fill>
      <patternFill patternType="solid">
        <fgColor rgb="FFACD0C0"/>
        <bgColor indexed="64"/>
      </patternFill>
    </fill>
    <fill>
      <patternFill patternType="solid">
        <fgColor rgb="FFEB8A44"/>
        <bgColor indexed="64"/>
      </patternFill>
    </fill>
    <fill>
      <patternFill patternType="solid">
        <fgColor rgb="FFF9DC24"/>
        <bgColor indexed="64"/>
      </patternFill>
    </fill>
    <fill>
      <patternFill patternType="solid">
        <fgColor rgb="FF4B7447"/>
        <bgColor indexed="64"/>
      </patternFill>
    </fill>
    <fill>
      <patternFill patternType="solid">
        <fgColor rgb="FF8EBA43"/>
        <bgColor indexed="64"/>
      </patternFill>
    </fill>
    <fill>
      <patternFill patternType="solid">
        <fgColor rgb="FF363237"/>
        <bgColor indexed="64"/>
      </patternFill>
    </fill>
    <fill>
      <patternFill patternType="solid">
        <fgColor rgb="FF2D4262"/>
        <bgColor indexed="64"/>
      </patternFill>
    </fill>
    <fill>
      <patternFill patternType="solid">
        <fgColor rgb="FF73605B"/>
        <bgColor indexed="64"/>
      </patternFill>
    </fill>
    <fill>
      <patternFill patternType="solid">
        <fgColor rgb="FFD09683"/>
        <bgColor indexed="64"/>
      </patternFill>
    </fill>
    <fill>
      <patternFill patternType="solid">
        <fgColor rgb="FFF52549"/>
        <bgColor indexed="64"/>
      </patternFill>
    </fill>
    <fill>
      <patternFill patternType="solid">
        <fgColor rgb="FFFA6775"/>
        <bgColor indexed="64"/>
      </patternFill>
    </fill>
    <fill>
      <patternFill patternType="solid">
        <fgColor rgb="FFFFD64D"/>
        <bgColor indexed="64"/>
      </patternFill>
    </fill>
    <fill>
      <patternFill patternType="solid">
        <fgColor rgb="FF9BC01C"/>
        <bgColor indexed="64"/>
      </patternFill>
    </fill>
    <fill>
      <patternFill patternType="solid">
        <fgColor rgb="FF2E2300"/>
        <bgColor indexed="64"/>
      </patternFill>
    </fill>
    <fill>
      <patternFill patternType="solid">
        <fgColor rgb="FF6E6702"/>
        <bgColor indexed="64"/>
      </patternFill>
    </fill>
    <fill>
      <patternFill patternType="solid">
        <fgColor rgb="FFC05805"/>
        <bgColor indexed="64"/>
      </patternFill>
    </fill>
    <fill>
      <patternFill patternType="solid">
        <fgColor rgb="FFDB9501"/>
        <bgColor indexed="64"/>
      </patternFill>
    </fill>
    <fill>
      <patternFill patternType="solid">
        <fgColor rgb="FF50312F"/>
        <bgColor indexed="64"/>
      </patternFill>
    </fill>
    <fill>
      <patternFill patternType="solid">
        <fgColor rgb="FFCB0000"/>
        <bgColor indexed="64"/>
      </patternFill>
    </fill>
    <fill>
      <patternFill patternType="solid">
        <fgColor rgb="FFE4EA8C"/>
        <bgColor indexed="64"/>
      </patternFill>
    </fill>
    <fill>
      <patternFill patternType="solid">
        <fgColor rgb="FF3F6C45"/>
        <bgColor indexed="64"/>
      </patternFill>
    </fill>
    <fill>
      <patternFill patternType="solid">
        <fgColor rgb="FF34888C"/>
        <bgColor indexed="64"/>
      </patternFill>
    </fill>
    <fill>
      <patternFill patternType="solid">
        <fgColor rgb="FF7CAA2D"/>
        <bgColor indexed="64"/>
      </patternFill>
    </fill>
    <fill>
      <patternFill patternType="solid">
        <fgColor rgb="FFF5E356"/>
        <bgColor indexed="64"/>
      </patternFill>
    </fill>
    <fill>
      <patternFill patternType="solid">
        <fgColor rgb="FFCB6318"/>
        <bgColor indexed="64"/>
      </patternFill>
    </fill>
    <fill>
      <patternFill patternType="solid">
        <fgColor rgb="FF0F1B0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C821A"/>
        <bgColor indexed="64"/>
      </patternFill>
    </fill>
    <fill>
      <patternFill patternType="solid">
        <fgColor rgb="FFC6D166"/>
        <bgColor indexed="64"/>
      </patternFill>
    </fill>
    <fill>
      <patternFill patternType="solid">
        <fgColor rgb="FF00293C"/>
        <bgColor indexed="64"/>
      </patternFill>
    </fill>
    <fill>
      <patternFill patternType="solid">
        <fgColor rgb="FF1E656D"/>
        <bgColor indexed="64"/>
      </patternFill>
    </fill>
    <fill>
      <patternFill patternType="solid">
        <fgColor rgb="FFF1F3CE"/>
        <bgColor indexed="64"/>
      </patternFill>
    </fill>
    <fill>
      <patternFill patternType="solid">
        <fgColor rgb="FFF62A00"/>
        <bgColor indexed="64"/>
      </patternFill>
    </fill>
    <fill>
      <patternFill patternType="solid">
        <fgColor rgb="FF626D71"/>
        <bgColor indexed="64"/>
      </patternFill>
    </fill>
    <fill>
      <patternFill patternType="solid">
        <fgColor rgb="FFCDCDC0"/>
        <bgColor indexed="64"/>
      </patternFill>
    </fill>
    <fill>
      <patternFill patternType="solid">
        <fgColor rgb="FFDDBC95"/>
        <bgColor indexed="64"/>
      </patternFill>
    </fill>
    <fill>
      <patternFill patternType="solid">
        <fgColor rgb="FFB38867"/>
        <bgColor indexed="64"/>
      </patternFill>
    </fill>
    <fill>
      <patternFill patternType="solid">
        <fgColor rgb="FF258039"/>
        <bgColor indexed="64"/>
      </patternFill>
    </fill>
    <fill>
      <patternFill patternType="solid">
        <fgColor rgb="FFF5BE41"/>
        <bgColor indexed="64"/>
      </patternFill>
    </fill>
    <fill>
      <patternFill patternType="solid">
        <fgColor rgb="FF31A9B8"/>
        <bgColor indexed="64"/>
      </patternFill>
    </fill>
    <fill>
      <patternFill patternType="solid">
        <fgColor rgb="FFCF3721"/>
        <bgColor indexed="64"/>
      </patternFill>
    </fill>
    <fill>
      <patternFill patternType="solid">
        <fgColor rgb="FFEE693F"/>
        <bgColor indexed="64"/>
      </patternFill>
    </fill>
    <fill>
      <patternFill patternType="solid">
        <fgColor rgb="FFF69454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739F3D"/>
        <bgColor indexed="64"/>
      </patternFill>
    </fill>
    <fill>
      <patternFill patternType="solid">
        <fgColor rgb="FFB9D9C3"/>
        <bgColor indexed="64"/>
      </patternFill>
    </fill>
    <fill>
      <patternFill patternType="solid">
        <fgColor rgb="FF752A07"/>
        <bgColor indexed="64"/>
      </patternFill>
    </fill>
    <fill>
      <patternFill patternType="solid">
        <fgColor rgb="FFFBCB7B"/>
        <bgColor indexed="64"/>
      </patternFill>
    </fill>
    <fill>
      <patternFill patternType="solid">
        <fgColor rgb="FFEB5E30"/>
        <bgColor indexed="64"/>
      </patternFill>
    </fill>
    <fill>
      <patternFill patternType="solid">
        <fgColor rgb="FF1E1F26"/>
        <bgColor indexed="64"/>
      </patternFill>
    </fill>
    <fill>
      <patternFill patternType="solid">
        <fgColor rgb="FF283655"/>
        <bgColor indexed="64"/>
      </patternFill>
    </fill>
    <fill>
      <patternFill patternType="solid">
        <fgColor rgb="FF4D648D"/>
        <bgColor indexed="64"/>
      </patternFill>
    </fill>
    <fill>
      <patternFill patternType="solid">
        <fgColor rgb="FFD0E1F9"/>
        <bgColor indexed="64"/>
      </patternFill>
    </fill>
    <fill>
      <patternFill patternType="solid">
        <fgColor rgb="FFF70025"/>
        <bgColor indexed="64"/>
      </patternFill>
    </fill>
    <fill>
      <patternFill patternType="solid">
        <fgColor rgb="FFF7EFE2"/>
        <bgColor indexed="64"/>
      </patternFill>
    </fill>
    <fill>
      <patternFill patternType="solid">
        <fgColor rgb="FFF25C00"/>
        <bgColor indexed="64"/>
      </patternFill>
    </fill>
    <fill>
      <patternFill patternType="solid">
        <fgColor rgb="FFF9A603"/>
        <bgColor indexed="64"/>
      </patternFill>
    </fill>
    <fill>
      <patternFill patternType="solid">
        <fgColor rgb="FFA1BE95"/>
        <bgColor indexed="64"/>
      </patternFill>
    </fill>
    <fill>
      <patternFill patternType="solid">
        <fgColor rgb="FFE2DFA2"/>
        <bgColor indexed="64"/>
      </patternFill>
    </fill>
    <fill>
      <patternFill patternType="solid">
        <fgColor rgb="FF92AAC7"/>
        <bgColor indexed="64"/>
      </patternFill>
    </fill>
    <fill>
      <patternFill patternType="solid">
        <fgColor rgb="FFED5752"/>
        <bgColor indexed="64"/>
      </patternFill>
    </fill>
    <fill>
      <patternFill patternType="solid">
        <fgColor rgb="FF4897D8"/>
        <bgColor indexed="64"/>
      </patternFill>
    </fill>
    <fill>
      <patternFill patternType="solid">
        <fgColor rgb="FFFFDB5C"/>
        <bgColor indexed="64"/>
      </patternFill>
    </fill>
    <fill>
      <patternFill patternType="solid">
        <fgColor rgb="FFFA6E59"/>
        <bgColor indexed="64"/>
      </patternFill>
    </fill>
    <fill>
      <patternFill patternType="solid">
        <fgColor rgb="FFF8A055"/>
        <bgColor indexed="64"/>
      </patternFill>
    </fill>
    <fill>
      <patternFill patternType="solid">
        <fgColor rgb="FFAF4425"/>
        <bgColor indexed="64"/>
      </patternFill>
    </fill>
    <fill>
      <patternFill patternType="solid">
        <fgColor rgb="FF662E1C"/>
        <bgColor indexed="64"/>
      </patternFill>
    </fill>
    <fill>
      <patternFill patternType="solid">
        <fgColor rgb="FFEBDCB2"/>
        <bgColor indexed="64"/>
      </patternFill>
    </fill>
    <fill>
      <patternFill patternType="solid">
        <fgColor rgb="FFC9A66B"/>
        <bgColor indexed="64"/>
      </patternFill>
    </fill>
    <fill>
      <patternFill patternType="solid">
        <fgColor rgb="FFC1E1DC"/>
        <bgColor indexed="64"/>
      </patternFill>
    </fill>
    <fill>
      <patternFill patternType="solid">
        <fgColor rgb="FFFFCCAC"/>
        <bgColor indexed="64"/>
      </patternFill>
    </fill>
    <fill>
      <patternFill patternType="solid">
        <fgColor rgb="FFFFEB94"/>
        <bgColor indexed="64"/>
      </patternFill>
    </fill>
    <fill>
      <patternFill patternType="solid">
        <fgColor rgb="FFFDD475"/>
        <bgColor indexed="64"/>
      </patternFill>
    </fill>
    <fill>
      <patternFill patternType="solid">
        <fgColor rgb="FF4C3F54"/>
        <bgColor indexed="64"/>
      </patternFill>
    </fill>
    <fill>
      <patternFill patternType="solid">
        <fgColor rgb="FFD13525"/>
        <bgColor indexed="64"/>
      </patternFill>
    </fill>
    <fill>
      <patternFill patternType="solid">
        <fgColor rgb="FFF2C057"/>
        <bgColor indexed="64"/>
      </patternFill>
    </fill>
    <fill>
      <patternFill patternType="solid">
        <fgColor rgb="FF486824"/>
        <bgColor indexed="64"/>
      </patternFill>
    </fill>
    <fill>
      <patternFill patternType="solid">
        <fgColor rgb="FFFAAF08"/>
        <bgColor indexed="64"/>
      </patternFill>
    </fill>
    <fill>
      <patternFill patternType="solid">
        <fgColor rgb="FFFA812F"/>
        <bgColor indexed="64"/>
      </patternFill>
    </fill>
    <fill>
      <patternFill patternType="solid">
        <fgColor rgb="FFFA4032"/>
        <bgColor indexed="64"/>
      </patternFill>
    </fill>
    <fill>
      <patternFill patternType="solid">
        <fgColor rgb="FFFEF3E2"/>
        <bgColor indexed="64"/>
      </patternFill>
    </fill>
    <fill>
      <patternFill patternType="solid">
        <fgColor rgb="FFF4EC6A"/>
        <bgColor indexed="64"/>
      </patternFill>
    </fill>
    <fill>
      <patternFill patternType="solid">
        <fgColor rgb="FFBBCF4A"/>
        <bgColor indexed="64"/>
      </patternFill>
    </fill>
    <fill>
      <patternFill patternType="solid">
        <fgColor rgb="FFE73F0B"/>
        <bgColor indexed="64"/>
      </patternFill>
    </fill>
    <fill>
      <patternFill patternType="solid">
        <fgColor rgb="FFA11F0C"/>
        <bgColor indexed="64"/>
      </patternFill>
    </fill>
    <fill>
      <patternFill patternType="solid">
        <fgColor rgb="FFFEF2E4"/>
        <bgColor indexed="64"/>
      </patternFill>
    </fill>
    <fill>
      <patternFill patternType="solid">
        <fgColor rgb="FFFD974F"/>
        <bgColor indexed="64"/>
      </patternFill>
    </fill>
    <fill>
      <patternFill patternType="solid">
        <fgColor rgb="FFC60000"/>
        <bgColor indexed="64"/>
      </patternFill>
    </fill>
    <fill>
      <patternFill patternType="solid">
        <fgColor rgb="FF805A3B"/>
        <bgColor indexed="64"/>
      </patternFill>
    </fill>
    <fill>
      <patternFill patternType="solid">
        <fgColor rgb="FFF77604"/>
        <bgColor indexed="64"/>
      </patternFill>
    </fill>
    <fill>
      <patternFill patternType="solid">
        <fgColor rgb="FFB8D20B"/>
        <bgColor indexed="64"/>
      </patternFill>
    </fill>
    <fill>
      <patternFill patternType="solid">
        <fgColor rgb="FFF56C57"/>
        <bgColor indexed="64"/>
      </patternFill>
    </fill>
    <fill>
      <patternFill patternType="solid">
        <fgColor rgb="FF231B12"/>
        <bgColor indexed="64"/>
      </patternFill>
    </fill>
    <fill>
      <patternFill patternType="solid">
        <fgColor rgb="FF7F152E"/>
        <bgColor indexed="64"/>
      </patternFill>
    </fill>
    <fill>
      <patternFill patternType="solid">
        <fgColor rgb="FFD61800"/>
        <bgColor indexed="64"/>
      </patternFill>
    </fill>
    <fill>
      <patternFill patternType="solid">
        <fgColor rgb="FFEDAE01"/>
        <bgColor indexed="64"/>
      </patternFill>
    </fill>
    <fill>
      <patternFill patternType="solid">
        <fgColor rgb="FFE94F08"/>
        <bgColor indexed="64"/>
      </patternFill>
    </fill>
    <fill>
      <patternFill patternType="solid">
        <fgColor rgb="FFEAE2D6"/>
        <bgColor indexed="64"/>
      </patternFill>
    </fill>
    <fill>
      <patternFill patternType="solid">
        <fgColor rgb="FFD5C3AA"/>
        <bgColor indexed="64"/>
      </patternFill>
    </fill>
    <fill>
      <patternFill patternType="solid">
        <fgColor rgb="FF867666"/>
        <bgColor indexed="64"/>
      </patternFill>
    </fill>
    <fill>
      <patternFill patternType="solid">
        <fgColor rgb="FFE1B80D"/>
        <bgColor indexed="64"/>
      </patternFill>
    </fill>
    <fill>
      <patternFill patternType="solid">
        <fgColor rgb="FF265C00"/>
        <bgColor indexed="64"/>
      </patternFill>
    </fill>
    <fill>
      <patternFill patternType="solid">
        <fgColor rgb="FF68A225"/>
        <bgColor indexed="64"/>
      </patternFill>
    </fill>
    <fill>
      <patternFill patternType="solid">
        <fgColor rgb="FFB3DE81"/>
        <bgColor indexed="64"/>
      </patternFill>
    </fill>
    <fill>
      <patternFill patternType="solid">
        <fgColor rgb="FFFDFFFF"/>
        <bgColor indexed="64"/>
      </patternFill>
    </fill>
    <fill>
      <patternFill patternType="solid">
        <fgColor rgb="FFA10115"/>
        <bgColor indexed="64"/>
      </patternFill>
    </fill>
    <fill>
      <patternFill patternType="solid">
        <fgColor rgb="FFD72C16"/>
        <bgColor indexed="64"/>
      </patternFill>
    </fill>
    <fill>
      <patternFill patternType="solid">
        <fgColor rgb="FFF0EFEA"/>
        <bgColor indexed="64"/>
      </patternFill>
    </fill>
    <fill>
      <patternFill patternType="solid">
        <fgColor rgb="FFC0B2B5"/>
        <bgColor indexed="64"/>
      </patternFill>
    </fill>
    <fill>
      <patternFill patternType="solid">
        <fgColor rgb="FFC7DB00"/>
        <bgColor indexed="64"/>
      </patternFill>
    </fill>
    <fill>
      <patternFill patternType="solid">
        <fgColor rgb="FF7AA802"/>
        <bgColor indexed="64"/>
      </patternFill>
    </fill>
    <fill>
      <patternFill patternType="solid">
        <fgColor rgb="FFF78B2D"/>
        <bgColor indexed="64"/>
      </patternFill>
    </fill>
    <fill>
      <patternFill patternType="solid">
        <fgColor rgb="FFE4B600"/>
        <bgColor indexed="64"/>
      </patternFill>
    </fill>
    <fill>
      <patternFill patternType="solid">
        <fgColor rgb="FF301B28"/>
        <bgColor indexed="64"/>
      </patternFill>
    </fill>
    <fill>
      <patternFill patternType="solid">
        <fgColor rgb="FF523634"/>
        <bgColor indexed="64"/>
      </patternFill>
    </fill>
    <fill>
      <patternFill patternType="solid">
        <fgColor rgb="FFB6452C"/>
        <bgColor indexed="64"/>
      </patternFill>
    </fill>
    <fill>
      <patternFill patternType="solid">
        <fgColor rgb="FFDDC5A2"/>
        <bgColor indexed="64"/>
      </patternFill>
    </fill>
    <fill>
      <patternFill patternType="solid">
        <fgColor rgb="FFEBDF00"/>
        <bgColor indexed="64"/>
      </patternFill>
    </fill>
    <fill>
      <patternFill patternType="solid">
        <fgColor rgb="FF7E7B15"/>
        <bgColor indexed="64"/>
      </patternFill>
    </fill>
    <fill>
      <patternFill patternType="solid">
        <fgColor rgb="FF563E20"/>
        <bgColor indexed="64"/>
      </patternFill>
    </fill>
    <fill>
      <patternFill patternType="solid">
        <fgColor rgb="FFB38540"/>
        <bgColor indexed="64"/>
      </patternFill>
    </fill>
    <fill>
      <patternFill patternType="solid">
        <fgColor rgb="FF662225"/>
        <bgColor indexed="64"/>
      </patternFill>
    </fill>
    <fill>
      <patternFill patternType="solid">
        <fgColor rgb="FFB51D0A"/>
        <bgColor indexed="64"/>
      </patternFill>
    </fill>
    <fill>
      <patternFill patternType="solid">
        <fgColor rgb="FFEAD39C"/>
        <bgColor indexed="64"/>
      </patternFill>
    </fill>
    <fill>
      <patternFill patternType="solid">
        <fgColor rgb="FF7D5E3C"/>
        <bgColor indexed="64"/>
      </patternFill>
    </fill>
    <fill>
      <patternFill patternType="solid">
        <fgColor rgb="FF4B4345"/>
        <bgColor indexed="64"/>
      </patternFill>
    </fill>
    <fill>
      <patternFill patternType="solid">
        <fgColor rgb="FF556DAC"/>
        <bgColor indexed="64"/>
      </patternFill>
    </fill>
    <fill>
      <patternFill patternType="solid">
        <fgColor rgb="FFF79B77"/>
        <bgColor indexed="64"/>
      </patternFill>
    </fill>
    <fill>
      <patternFill patternType="solid">
        <fgColor rgb="FF755248"/>
        <bgColor indexed="64"/>
      </patternFill>
    </fill>
    <fill>
      <patternFill patternType="solid">
        <fgColor rgb="FFD8412F"/>
        <bgColor indexed="64"/>
      </patternFill>
    </fill>
    <fill>
      <patternFill patternType="solid">
        <fgColor rgb="FFFE7A47"/>
        <bgColor indexed="64"/>
      </patternFill>
    </fill>
    <fill>
      <patternFill patternType="solid">
        <fgColor rgb="FFF5CA99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0088CC"/>
        <bgColor indexed="64"/>
      </patternFill>
    </fill>
    <fill>
      <patternFill patternType="solid">
        <fgColor rgb="FF539536"/>
        <bgColor indexed="64"/>
      </patternFill>
    </fill>
    <fill>
      <patternFill patternType="solid">
        <fgColor rgb="FFE7AB08"/>
        <bgColor indexed="64"/>
      </patternFill>
    </fill>
    <fill>
      <patternFill patternType="solid">
        <fgColor rgb="FFE03C31"/>
        <bgColor indexed="64"/>
      </patternFill>
    </fill>
    <fill>
      <patternFill patternType="solid">
        <fgColor rgb="FFCE534B"/>
        <bgColor indexed="64"/>
      </patternFill>
    </fill>
    <fill>
      <patternFill patternType="solid">
        <fgColor rgb="FFF37021"/>
        <bgColor indexed="64"/>
      </patternFill>
    </fill>
    <fill>
      <patternFill patternType="solid">
        <fgColor rgb="FF38424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9F9FB"/>
        <bgColor indexed="64"/>
      </patternFill>
    </fill>
    <fill>
      <patternFill patternType="solid">
        <fgColor rgb="FFF8F9F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5">
    <xf numFmtId="0" fontId="0" fillId="0" borderId="0" xfId="0"/>
    <xf numFmtId="0" fontId="1" fillId="0" borderId="0" xfId="0" applyFont="1" applyAlignment="1">
      <alignment vertic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8" borderId="0" xfId="0" applyFill="1"/>
    <xf numFmtId="0" fontId="0" fillId="26" borderId="0" xfId="0" applyFill="1"/>
    <xf numFmtId="0" fontId="0" fillId="27" borderId="0" xfId="0" applyFill="1"/>
    <xf numFmtId="49" fontId="0" fillId="0" borderId="0" xfId="0" applyNumberFormat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2" borderId="0" xfId="0" applyFill="1"/>
    <xf numFmtId="0" fontId="0" fillId="43" borderId="0" xfId="0" applyFill="1"/>
    <xf numFmtId="0" fontId="0" fillId="45" borderId="0" xfId="0" applyFill="1"/>
    <xf numFmtId="0" fontId="0" fillId="46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3" borderId="0" xfId="0" applyFill="1"/>
    <xf numFmtId="0" fontId="0" fillId="54" borderId="0" xfId="0" applyFill="1"/>
    <xf numFmtId="0" fontId="0" fillId="57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9" borderId="0" xfId="0" applyFill="1"/>
    <xf numFmtId="0" fontId="0" fillId="70" borderId="0" xfId="0" applyFill="1"/>
    <xf numFmtId="0" fontId="0" fillId="73" borderId="0" xfId="0" applyFill="1"/>
    <xf numFmtId="0" fontId="0" fillId="77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9" borderId="0" xfId="0" applyFill="1"/>
    <xf numFmtId="0" fontId="0" fillId="90" borderId="0" xfId="0" applyFill="1"/>
    <xf numFmtId="0" fontId="0" fillId="93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5" borderId="0" xfId="0" applyFill="1"/>
    <xf numFmtId="0" fontId="0" fillId="109" borderId="0" xfId="0" applyFill="1"/>
    <xf numFmtId="0" fontId="0" fillId="111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5" borderId="0" xfId="0" applyFill="1"/>
    <xf numFmtId="0" fontId="0" fillId="126" borderId="0" xfId="0" applyFill="1"/>
    <xf numFmtId="0" fontId="0" fillId="129" borderId="0" xfId="0" applyFill="1"/>
    <xf numFmtId="0" fontId="0" fillId="130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7" borderId="0" xfId="0" applyFill="1"/>
    <xf numFmtId="0" fontId="0" fillId="138" borderId="0" xfId="0" applyFill="1"/>
    <xf numFmtId="0" fontId="0" fillId="141" borderId="0" xfId="0" applyFill="1"/>
    <xf numFmtId="0" fontId="0" fillId="142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3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5" borderId="0" xfId="0" applyFill="1"/>
    <xf numFmtId="0" fontId="0" fillId="186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0" borderId="1" xfId="0" applyBorder="1"/>
    <xf numFmtId="0" fontId="1" fillId="0" borderId="1" xfId="0" applyFont="1" applyBorder="1" applyAlignment="1">
      <alignment vertical="center"/>
    </xf>
    <xf numFmtId="0" fontId="0" fillId="5" borderId="1" xfId="0" applyFill="1" applyBorder="1"/>
    <xf numFmtId="49" fontId="0" fillId="0" borderId="1" xfId="0" applyNumberFormat="1" applyBorder="1"/>
    <xf numFmtId="0" fontId="0" fillId="9" borderId="1" xfId="0" applyFill="1" applyBorder="1"/>
    <xf numFmtId="0" fontId="0" fillId="13" borderId="1" xfId="0" applyFill="1" applyBorder="1"/>
    <xf numFmtId="0" fontId="0" fillId="17" borderId="1" xfId="0" applyFill="1" applyBorder="1"/>
    <xf numFmtId="0" fontId="0" fillId="0" borderId="0" xfId="0" applyBorder="1"/>
    <xf numFmtId="0" fontId="1" fillId="0" borderId="0" xfId="0" applyFont="1" applyBorder="1" applyAlignment="1">
      <alignment vertical="center"/>
    </xf>
    <xf numFmtId="0" fontId="0" fillId="19" borderId="0" xfId="0" applyFill="1" applyBorder="1"/>
    <xf numFmtId="49" fontId="0" fillId="0" borderId="0" xfId="0" applyNumberFormat="1" applyBorder="1"/>
    <xf numFmtId="0" fontId="0" fillId="20" borderId="0" xfId="0" applyFill="1" applyBorder="1"/>
    <xf numFmtId="0" fontId="0" fillId="21" borderId="1" xfId="0" applyFill="1" applyBorder="1"/>
    <xf numFmtId="0" fontId="0" fillId="0" borderId="2" xfId="0" applyBorder="1"/>
    <xf numFmtId="0" fontId="1" fillId="0" borderId="2" xfId="0" applyFont="1" applyBorder="1" applyAlignment="1">
      <alignment vertical="center"/>
    </xf>
    <xf numFmtId="0" fontId="0" fillId="22" borderId="2" xfId="0" applyFill="1" applyBorder="1"/>
    <xf numFmtId="49" fontId="0" fillId="0" borderId="2" xfId="0" applyNumberFormat="1" applyBorder="1"/>
    <xf numFmtId="0" fontId="0" fillId="23" borderId="0" xfId="0" applyFill="1" applyBorder="1"/>
    <xf numFmtId="0" fontId="0" fillId="24" borderId="0" xfId="0" applyFill="1" applyBorder="1"/>
    <xf numFmtId="0" fontId="0" fillId="25" borderId="1" xfId="0" applyFill="1" applyBorder="1"/>
    <xf numFmtId="0" fontId="0" fillId="28" borderId="1" xfId="0" applyFill="1" applyBorder="1"/>
    <xf numFmtId="0" fontId="0" fillId="32" borderId="0" xfId="0" applyFill="1" applyBorder="1"/>
    <xf numFmtId="0" fontId="0" fillId="33" borderId="1" xfId="0" applyFill="1" applyBorder="1"/>
    <xf numFmtId="0" fontId="0" fillId="37" borderId="1" xfId="0" applyFill="1" applyBorder="1"/>
    <xf numFmtId="0" fontId="0" fillId="41" borderId="1" xfId="0" applyFill="1" applyBorder="1"/>
    <xf numFmtId="0" fontId="0" fillId="44" borderId="1" xfId="0" applyFill="1" applyBorder="1"/>
    <xf numFmtId="0" fontId="0" fillId="47" borderId="0" xfId="0" applyFill="1" applyBorder="1"/>
    <xf numFmtId="0" fontId="0" fillId="48" borderId="1" xfId="0" applyFill="1" applyBorder="1"/>
    <xf numFmtId="0" fontId="0" fillId="52" borderId="1" xfId="0" applyFill="1" applyBorder="1"/>
    <xf numFmtId="0" fontId="0" fillId="55" borderId="0" xfId="0" applyFill="1" applyBorder="1"/>
    <xf numFmtId="0" fontId="0" fillId="56" borderId="1" xfId="0" applyFill="1" applyBorder="1"/>
    <xf numFmtId="0" fontId="0" fillId="58" borderId="0" xfId="0" applyFill="1" applyBorder="1"/>
    <xf numFmtId="0" fontId="0" fillId="59" borderId="0" xfId="0" applyFill="1" applyBorder="1"/>
    <xf numFmtId="0" fontId="0" fillId="60" borderId="1" xfId="0" applyFill="1" applyBorder="1"/>
    <xf numFmtId="0" fontId="0" fillId="61" borderId="2" xfId="0" applyFill="1" applyBorder="1"/>
    <xf numFmtId="0" fontId="0" fillId="62" borderId="0" xfId="0" applyFill="1" applyBorder="1"/>
    <xf numFmtId="0" fontId="0" fillId="63" borderId="0" xfId="0" applyFill="1" applyBorder="1"/>
    <xf numFmtId="0" fontId="0" fillId="64" borderId="1" xfId="0" applyFill="1" applyBorder="1"/>
    <xf numFmtId="0" fontId="0" fillId="68" borderId="1" xfId="0" applyFill="1" applyBorder="1"/>
    <xf numFmtId="0" fontId="0" fillId="71" borderId="0" xfId="0" applyFill="1" applyBorder="1"/>
    <xf numFmtId="0" fontId="0" fillId="72" borderId="1" xfId="0" applyFill="1" applyBorder="1"/>
    <xf numFmtId="0" fontId="0" fillId="74" borderId="0" xfId="0" applyFill="1" applyBorder="1"/>
    <xf numFmtId="0" fontId="0" fillId="75" borderId="0" xfId="0" applyFill="1" applyBorder="1"/>
    <xf numFmtId="0" fontId="0" fillId="76" borderId="1" xfId="0" applyFill="1" applyBorder="1"/>
    <xf numFmtId="0" fontId="0" fillId="78" borderId="0" xfId="0" applyFill="1" applyBorder="1"/>
    <xf numFmtId="0" fontId="0" fillId="79" borderId="0" xfId="0" applyFill="1" applyBorder="1"/>
    <xf numFmtId="0" fontId="0" fillId="80" borderId="1" xfId="0" applyFill="1" applyBorder="1"/>
    <xf numFmtId="0" fontId="0" fillId="84" borderId="1" xfId="0" applyFill="1" applyBorder="1"/>
    <xf numFmtId="0" fontId="0" fillId="88" borderId="1" xfId="0" applyFill="1" applyBorder="1"/>
    <xf numFmtId="0" fontId="0" fillId="91" borderId="0" xfId="0" applyFill="1" applyBorder="1"/>
    <xf numFmtId="0" fontId="0" fillId="92" borderId="1" xfId="0" applyFill="1" applyBorder="1"/>
    <xf numFmtId="0" fontId="0" fillId="94" borderId="0" xfId="0" applyFill="1" applyBorder="1"/>
    <xf numFmtId="0" fontId="0" fillId="95" borderId="0" xfId="0" applyFill="1" applyBorder="1"/>
    <xf numFmtId="0" fontId="0" fillId="96" borderId="1" xfId="0" applyFill="1" applyBorder="1"/>
    <xf numFmtId="0" fontId="0" fillId="100" borderId="1" xfId="0" applyFill="1" applyBorder="1"/>
    <xf numFmtId="0" fontId="0" fillId="104" borderId="1" xfId="0" applyFill="1" applyBorder="1"/>
    <xf numFmtId="0" fontId="0" fillId="106" borderId="0" xfId="0" applyFill="1" applyBorder="1"/>
    <xf numFmtId="0" fontId="0" fillId="107" borderId="0" xfId="0" applyFill="1" applyBorder="1"/>
    <xf numFmtId="0" fontId="0" fillId="108" borderId="1" xfId="0" applyFill="1" applyBorder="1"/>
    <xf numFmtId="0" fontId="0" fillId="110" borderId="0" xfId="0" applyFill="1" applyBorder="1"/>
    <xf numFmtId="0" fontId="0" fillId="111" borderId="0" xfId="0" applyFill="1" applyBorder="1"/>
    <xf numFmtId="0" fontId="0" fillId="112" borderId="1" xfId="0" applyFill="1" applyBorder="1"/>
    <xf numFmtId="0" fontId="0" fillId="116" borderId="1" xfId="0" applyFill="1" applyBorder="1"/>
    <xf numFmtId="0" fontId="0" fillId="117" borderId="2" xfId="0" applyFill="1" applyBorder="1"/>
    <xf numFmtId="0" fontId="0" fillId="118" borderId="0" xfId="0" applyFill="1" applyBorder="1"/>
    <xf numFmtId="0" fontId="0" fillId="119" borderId="0" xfId="0" applyFill="1" applyBorder="1"/>
    <xf numFmtId="0" fontId="0" fillId="120" borderId="1" xfId="0" applyFill="1" applyBorder="1"/>
    <xf numFmtId="0" fontId="0" fillId="124" borderId="1" xfId="0" applyFill="1" applyBorder="1"/>
    <xf numFmtId="0" fontId="0" fillId="127" borderId="0" xfId="0" applyFill="1" applyBorder="1"/>
    <xf numFmtId="0" fontId="0" fillId="128" borderId="1" xfId="0" applyFill="1" applyBorder="1"/>
    <xf numFmtId="0" fontId="0" fillId="131" borderId="0" xfId="0" applyFill="1" applyBorder="1"/>
    <xf numFmtId="0" fontId="0" fillId="132" borderId="1" xfId="0" applyFill="1" applyBorder="1"/>
    <xf numFmtId="0" fontId="0" fillId="136" borderId="1" xfId="0" applyFill="1" applyBorder="1"/>
    <xf numFmtId="0" fontId="0" fillId="139" borderId="0" xfId="0" applyFill="1" applyBorder="1"/>
    <xf numFmtId="0" fontId="0" fillId="140" borderId="1" xfId="0" applyFill="1" applyBorder="1"/>
    <xf numFmtId="0" fontId="0" fillId="143" borderId="0" xfId="0" applyFill="1" applyBorder="1"/>
    <xf numFmtId="0" fontId="0" fillId="144" borderId="1" xfId="0" applyFill="1" applyBorder="1"/>
    <xf numFmtId="0" fontId="0" fillId="148" borderId="1" xfId="0" applyFill="1" applyBorder="1"/>
    <xf numFmtId="0" fontId="0" fillId="152" borderId="1" xfId="0" applyFill="1" applyBorder="1"/>
    <xf numFmtId="0" fontId="0" fillId="154" borderId="0" xfId="0" applyFill="1" applyBorder="1"/>
    <xf numFmtId="0" fontId="0" fillId="155" borderId="0" xfId="0" applyFill="1" applyBorder="1"/>
    <xf numFmtId="0" fontId="0" fillId="156" borderId="1" xfId="0" applyFill="1" applyBorder="1"/>
    <xf numFmtId="0" fontId="0" fillId="160" borderId="1" xfId="0" applyFill="1" applyBorder="1"/>
    <xf numFmtId="0" fontId="0" fillId="164" borderId="1" xfId="0" applyFill="1" applyBorder="1"/>
    <xf numFmtId="0" fontId="0" fillId="168" borderId="1" xfId="0" applyFill="1" applyBorder="1"/>
    <xf numFmtId="0" fontId="0" fillId="176" borderId="1" xfId="0" applyFill="1" applyBorder="1"/>
    <xf numFmtId="0" fontId="0" fillId="172" borderId="1" xfId="0" applyFill="1" applyBorder="1"/>
    <xf numFmtId="0" fontId="0" fillId="180" borderId="1" xfId="0" applyFill="1" applyBorder="1"/>
    <xf numFmtId="0" fontId="0" fillId="184" borderId="1" xfId="0" applyFill="1" applyBorder="1"/>
    <xf numFmtId="0" fontId="0" fillId="187" borderId="0" xfId="0" applyFill="1" applyBorder="1"/>
    <xf numFmtId="0" fontId="0" fillId="188" borderId="1" xfId="0" applyFill="1" applyBorder="1"/>
    <xf numFmtId="0" fontId="0" fillId="192" borderId="1" xfId="0" applyFill="1" applyBorder="1"/>
    <xf numFmtId="0" fontId="0" fillId="196" borderId="1" xfId="0" applyFill="1" applyBorder="1"/>
    <xf numFmtId="0" fontId="0" fillId="209" borderId="0" xfId="0" applyFill="1" applyBorder="1"/>
    <xf numFmtId="0" fontId="0" fillId="210" borderId="0" xfId="0" applyFill="1" applyBorder="1"/>
    <xf numFmtId="0" fontId="0" fillId="211" borderId="0" xfId="0" applyFill="1" applyBorder="1"/>
    <xf numFmtId="0" fontId="0" fillId="212" borderId="0" xfId="0" applyFill="1" applyBorder="1"/>
    <xf numFmtId="0" fontId="0" fillId="21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Sheet1!$K$1:$K$4</c:f>
              <c:strCache>
                <c:ptCount val="4"/>
                <c:pt idx="0">
                  <c:v>Color 1</c:v>
                </c:pt>
                <c:pt idx="1">
                  <c:v>Color 2</c:v>
                </c:pt>
                <c:pt idx="2">
                  <c:v>Color 3</c:v>
                </c:pt>
                <c:pt idx="3">
                  <c:v>Color 4</c:v>
                </c:pt>
              </c:strCache>
            </c:strRef>
          </c:cat>
          <c:val>
            <c:numRef>
              <c:f>Sheet1!$L$1:$L$4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D-4713-911E-39166D80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406176616"/>
        <c:axId val="406176944"/>
      </c:barChart>
      <c:catAx>
        <c:axId val="406176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76944"/>
        <c:crosses val="autoZero"/>
        <c:auto val="1"/>
        <c:lblAlgn val="ctr"/>
        <c:lblOffset val="100"/>
        <c:noMultiLvlLbl val="0"/>
      </c:catAx>
      <c:valAx>
        <c:axId val="4061769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617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3</xdr:row>
      <xdr:rowOff>42862</xdr:rowOff>
    </xdr:from>
    <xdr:to>
      <xdr:col>21</xdr:col>
      <xdr:colOff>352425</xdr:colOff>
      <xdr:row>17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20"/>
  <sheetViews>
    <sheetView tabSelected="1" workbookViewId="0">
      <selection activeCell="E215" sqref="E215"/>
    </sheetView>
  </sheetViews>
  <sheetFormatPr defaultRowHeight="15" x14ac:dyDescent="0.25"/>
  <cols>
    <col min="5" max="5" width="22.140625" customWidth="1"/>
    <col min="6" max="6" width="9.5703125" style="17" bestFit="1" customWidth="1"/>
    <col min="8" max="8" width="27.710937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17" t="s">
        <v>5</v>
      </c>
      <c r="G1" t="s">
        <v>14</v>
      </c>
      <c r="H1" t="s">
        <v>15</v>
      </c>
      <c r="I1" t="s">
        <v>16</v>
      </c>
      <c r="K1" t="s">
        <v>10</v>
      </c>
      <c r="L1">
        <v>1</v>
      </c>
      <c r="O1" t="s">
        <v>30</v>
      </c>
    </row>
    <row r="2" spans="1:15" x14ac:dyDescent="0.25">
      <c r="A2">
        <f>HEX2DEC(LEFT(F2,2))</f>
        <v>249</v>
      </c>
      <c r="B2">
        <f>HEX2DEC(RIGHT(LEFT(F2,4),2))</f>
        <v>136</v>
      </c>
      <c r="C2">
        <f>HEX2DEC(RIGHT(F2,2))</f>
        <v>102</v>
      </c>
      <c r="D2" s="1" t="str">
        <f>IF(ISODD(LEN(DEC2HEX(A2))),"0","")&amp;DEC2HEX(A2)&amp;IF(ISODD(LEN(DEC2HEX(B2))),"0","")&amp;DEC2HEX(B2)&amp;IF(ISODD(LEN(DEC2HEX(C2))),"0","")&amp;DEC2HEX(C2)</f>
        <v>F98866</v>
      </c>
      <c r="E2" s="2"/>
      <c r="F2" s="17" t="s">
        <v>6</v>
      </c>
      <c r="G2" t="s">
        <v>18</v>
      </c>
      <c r="H2" t="s">
        <v>17</v>
      </c>
      <c r="I2">
        <v>1</v>
      </c>
      <c r="K2" t="s">
        <v>11</v>
      </c>
      <c r="L2">
        <v>1</v>
      </c>
      <c r="O2" t="s">
        <v>463</v>
      </c>
    </row>
    <row r="3" spans="1:15" x14ac:dyDescent="0.25">
      <c r="A3">
        <f>HEX2DEC(LEFT(F3,2))</f>
        <v>255</v>
      </c>
      <c r="B3">
        <f>HEX2DEC(RIGHT(LEFT(F3,4),2))</f>
        <v>66</v>
      </c>
      <c r="C3">
        <f>HEX2DEC(RIGHT(F3,2))</f>
        <v>14</v>
      </c>
      <c r="D3" s="1" t="str">
        <f>IF(ISODD(LEN(DEC2HEX(A3))),"0","")&amp;DEC2HEX(A3)&amp;IF(ISODD(LEN(DEC2HEX(B3))),"0","")&amp;DEC2HEX(B3)&amp;IF(ISODD(LEN(DEC2HEX(C3))),"0","")&amp;DEC2HEX(C3)</f>
        <v>FF420E</v>
      </c>
      <c r="E3" s="3"/>
      <c r="F3" s="17" t="s">
        <v>7</v>
      </c>
      <c r="G3" t="s">
        <v>19</v>
      </c>
      <c r="H3" t="s">
        <v>17</v>
      </c>
      <c r="I3">
        <v>1</v>
      </c>
      <c r="K3" t="s">
        <v>12</v>
      </c>
      <c r="L3">
        <v>1</v>
      </c>
    </row>
    <row r="4" spans="1:15" x14ac:dyDescent="0.25">
      <c r="A4">
        <f t="shared" ref="A4:A8" si="0">HEX2DEC(LEFT(F4,2))</f>
        <v>128</v>
      </c>
      <c r="B4">
        <f t="shared" ref="B4:B8" si="1">HEX2DEC(RIGHT(LEFT(F4,4),2))</f>
        <v>189</v>
      </c>
      <c r="C4">
        <f t="shared" ref="C4:C8" si="2">HEX2DEC(RIGHT(F4,2))</f>
        <v>158</v>
      </c>
      <c r="D4" s="1" t="str">
        <f t="shared" ref="D4:D8" si="3">IF(ISODD(LEN(DEC2HEX(A4))),"0","")&amp;DEC2HEX(A4)&amp;IF(ISODD(LEN(DEC2HEX(B4))),"0","")&amp;DEC2HEX(B4)&amp;IF(ISODD(LEN(DEC2HEX(C4))),"0","")&amp;DEC2HEX(C4)</f>
        <v>80BD9E</v>
      </c>
      <c r="E4" s="4"/>
      <c r="F4" s="17" t="s">
        <v>8</v>
      </c>
      <c r="G4" t="s">
        <v>20</v>
      </c>
      <c r="H4" t="s">
        <v>17</v>
      </c>
      <c r="I4">
        <v>1</v>
      </c>
      <c r="K4" t="s">
        <v>13</v>
      </c>
      <c r="L4">
        <v>1</v>
      </c>
    </row>
    <row r="5" spans="1:15" x14ac:dyDescent="0.25">
      <c r="A5" s="127">
        <f t="shared" si="0"/>
        <v>137</v>
      </c>
      <c r="B5" s="127">
        <f t="shared" si="1"/>
        <v>218</v>
      </c>
      <c r="C5" s="127">
        <f t="shared" si="2"/>
        <v>89</v>
      </c>
      <c r="D5" s="128" t="str">
        <f t="shared" si="3"/>
        <v>89DA59</v>
      </c>
      <c r="E5" s="129"/>
      <c r="F5" s="130" t="s">
        <v>9</v>
      </c>
      <c r="G5" s="127" t="s">
        <v>21</v>
      </c>
      <c r="H5" s="127" t="s">
        <v>17</v>
      </c>
      <c r="I5" s="127">
        <v>1</v>
      </c>
    </row>
    <row r="6" spans="1:15" x14ac:dyDescent="0.25">
      <c r="A6">
        <f t="shared" si="0"/>
        <v>144</v>
      </c>
      <c r="B6">
        <f t="shared" si="1"/>
        <v>175</v>
      </c>
      <c r="C6">
        <f t="shared" si="2"/>
        <v>197</v>
      </c>
      <c r="D6" s="1" t="str">
        <f t="shared" si="3"/>
        <v>90AFC5</v>
      </c>
      <c r="E6" s="5"/>
      <c r="F6" s="17" t="s">
        <v>22</v>
      </c>
      <c r="G6" t="s">
        <v>25</v>
      </c>
      <c r="H6" t="s">
        <v>29</v>
      </c>
      <c r="I6">
        <v>2</v>
      </c>
    </row>
    <row r="7" spans="1:15" x14ac:dyDescent="0.25">
      <c r="A7">
        <f t="shared" si="0"/>
        <v>51</v>
      </c>
      <c r="B7">
        <f t="shared" si="1"/>
        <v>107</v>
      </c>
      <c r="C7">
        <f t="shared" si="2"/>
        <v>135</v>
      </c>
      <c r="D7" s="1" t="str">
        <f t="shared" si="3"/>
        <v>336B87</v>
      </c>
      <c r="E7" s="6"/>
      <c r="F7" s="17" t="s">
        <v>23</v>
      </c>
      <c r="G7" t="s">
        <v>26</v>
      </c>
      <c r="H7" t="s">
        <v>29</v>
      </c>
      <c r="I7">
        <v>2</v>
      </c>
    </row>
    <row r="8" spans="1:15" x14ac:dyDescent="0.25">
      <c r="A8">
        <f t="shared" si="0"/>
        <v>42</v>
      </c>
      <c r="B8">
        <f t="shared" si="1"/>
        <v>49</v>
      </c>
      <c r="C8">
        <f t="shared" si="2"/>
        <v>50</v>
      </c>
      <c r="D8" s="1" t="str">
        <f t="shared" si="3"/>
        <v>2A3132</v>
      </c>
      <c r="E8" s="7"/>
      <c r="F8" s="17" t="s">
        <v>24</v>
      </c>
      <c r="G8" t="s">
        <v>27</v>
      </c>
      <c r="H8" t="s">
        <v>29</v>
      </c>
      <c r="I8">
        <v>2</v>
      </c>
    </row>
    <row r="9" spans="1:15" x14ac:dyDescent="0.25">
      <c r="A9" s="127">
        <f t="shared" ref="A9" si="4">HEX2DEC(LEFT(F9,2))</f>
        <v>118</v>
      </c>
      <c r="B9" s="127">
        <f t="shared" ref="B9" si="5">HEX2DEC(RIGHT(LEFT(F9,4),2))</f>
        <v>54</v>
      </c>
      <c r="C9" s="127">
        <f t="shared" ref="C9" si="6">HEX2DEC(RIGHT(F9,2))</f>
        <v>38</v>
      </c>
      <c r="D9" s="128" t="str">
        <f t="shared" ref="D9" si="7">IF(ISODD(LEN(DEC2HEX(A9))),"0","")&amp;DEC2HEX(A9)&amp;IF(ISODD(LEN(DEC2HEX(B9))),"0","")&amp;DEC2HEX(B9)&amp;IF(ISODD(LEN(DEC2HEX(C9))),"0","")&amp;DEC2HEX(C9)</f>
        <v>763626</v>
      </c>
      <c r="E9" s="131"/>
      <c r="F9" s="130">
        <v>763626</v>
      </c>
      <c r="G9" s="127" t="s">
        <v>28</v>
      </c>
      <c r="H9" s="127" t="s">
        <v>29</v>
      </c>
      <c r="I9" s="127">
        <v>2</v>
      </c>
    </row>
    <row r="10" spans="1:15" x14ac:dyDescent="0.25">
      <c r="A10">
        <f t="shared" ref="A10:A13" si="8">HEX2DEC(LEFT(F10,2))</f>
        <v>70</v>
      </c>
      <c r="B10">
        <f t="shared" ref="B10:B13" si="9">HEX2DEC(RIGHT(LEFT(F10,4),2))</f>
        <v>33</v>
      </c>
      <c r="C10">
        <f t="shared" ref="C10:C13" si="10">HEX2DEC(RIGHT(F10,2))</f>
        <v>26</v>
      </c>
      <c r="D10" s="1" t="str">
        <f t="shared" ref="D10:D13" si="11">IF(ISODD(LEN(DEC2HEX(A10))),"0","")&amp;DEC2HEX(A10)&amp;IF(ISODD(LEN(DEC2HEX(B10))),"0","")&amp;DEC2HEX(B10)&amp;IF(ISODD(LEN(DEC2HEX(C10))),"0","")&amp;DEC2HEX(C10)</f>
        <v>46211A</v>
      </c>
      <c r="E10" s="8"/>
      <c r="F10" s="17" t="s">
        <v>32</v>
      </c>
      <c r="G10" t="s">
        <v>31</v>
      </c>
      <c r="H10" t="s">
        <v>36</v>
      </c>
      <c r="I10">
        <v>3</v>
      </c>
    </row>
    <row r="11" spans="1:15" x14ac:dyDescent="0.25">
      <c r="A11">
        <f t="shared" si="8"/>
        <v>105</v>
      </c>
      <c r="B11">
        <f t="shared" si="9"/>
        <v>61</v>
      </c>
      <c r="C11">
        <f t="shared" si="10"/>
        <v>61</v>
      </c>
      <c r="D11" s="1" t="str">
        <f t="shared" si="11"/>
        <v>693D3D</v>
      </c>
      <c r="E11" s="9"/>
      <c r="F11" s="17" t="s">
        <v>33</v>
      </c>
      <c r="G11" t="s">
        <v>37</v>
      </c>
      <c r="H11" t="s">
        <v>36</v>
      </c>
      <c r="I11">
        <v>3</v>
      </c>
    </row>
    <row r="12" spans="1:15" x14ac:dyDescent="0.25">
      <c r="A12">
        <f t="shared" si="8"/>
        <v>186</v>
      </c>
      <c r="B12">
        <f t="shared" si="9"/>
        <v>85</v>
      </c>
      <c r="C12">
        <f t="shared" si="10"/>
        <v>54</v>
      </c>
      <c r="D12" s="1" t="str">
        <f t="shared" si="11"/>
        <v>BA5536</v>
      </c>
      <c r="E12" s="10"/>
      <c r="F12" s="17" t="s">
        <v>34</v>
      </c>
      <c r="G12" t="s">
        <v>38</v>
      </c>
      <c r="H12" t="s">
        <v>36</v>
      </c>
      <c r="I12">
        <v>3</v>
      </c>
    </row>
    <row r="13" spans="1:15" x14ac:dyDescent="0.25">
      <c r="A13" s="127">
        <f t="shared" si="8"/>
        <v>164</v>
      </c>
      <c r="B13" s="127">
        <f t="shared" si="9"/>
        <v>56</v>
      </c>
      <c r="C13" s="127">
        <f t="shared" si="10"/>
        <v>32</v>
      </c>
      <c r="D13" s="128" t="str">
        <f t="shared" si="11"/>
        <v>A43820</v>
      </c>
      <c r="E13" s="132"/>
      <c r="F13" s="130" t="s">
        <v>35</v>
      </c>
      <c r="G13" s="127" t="s">
        <v>39</v>
      </c>
      <c r="H13" s="127" t="s">
        <v>36</v>
      </c>
      <c r="I13" s="127">
        <v>3</v>
      </c>
    </row>
    <row r="14" spans="1:15" x14ac:dyDescent="0.25">
      <c r="A14">
        <f t="shared" ref="A14:A17" si="12">HEX2DEC(LEFT(F14,2))</f>
        <v>80</v>
      </c>
      <c r="B14">
        <f t="shared" ref="B14:B17" si="13">HEX2DEC(RIGHT(LEFT(F14,4),2))</f>
        <v>81</v>
      </c>
      <c r="C14">
        <f t="shared" ref="C14:C17" si="14">HEX2DEC(RIGHT(F14,2))</f>
        <v>96</v>
      </c>
      <c r="D14" s="1" t="str">
        <f t="shared" ref="D14:D17" si="15">IF(ISODD(LEN(DEC2HEX(A14))),"0","")&amp;DEC2HEX(A14)&amp;IF(ISODD(LEN(DEC2HEX(B14))),"0","")&amp;DEC2HEX(B14)&amp;IF(ISODD(LEN(DEC2HEX(C14))),"0","")&amp;DEC2HEX(C14)</f>
        <v>505160</v>
      </c>
      <c r="E14" s="11"/>
      <c r="F14" s="17">
        <v>505160</v>
      </c>
      <c r="G14" t="s">
        <v>43</v>
      </c>
      <c r="H14" t="s">
        <v>42</v>
      </c>
      <c r="I14">
        <v>4</v>
      </c>
    </row>
    <row r="15" spans="1:15" x14ac:dyDescent="0.25">
      <c r="A15">
        <f t="shared" si="12"/>
        <v>104</v>
      </c>
      <c r="B15">
        <f t="shared" si="13"/>
        <v>130</v>
      </c>
      <c r="C15">
        <f t="shared" si="14"/>
        <v>158</v>
      </c>
      <c r="D15" s="1" t="str">
        <f t="shared" si="15"/>
        <v>68829E</v>
      </c>
      <c r="E15" s="12"/>
      <c r="F15" s="17" t="s">
        <v>40</v>
      </c>
      <c r="G15" t="s">
        <v>44</v>
      </c>
      <c r="H15" t="s">
        <v>42</v>
      </c>
      <c r="I15">
        <v>4</v>
      </c>
    </row>
    <row r="16" spans="1:15" x14ac:dyDescent="0.25">
      <c r="A16">
        <f t="shared" si="12"/>
        <v>174</v>
      </c>
      <c r="B16">
        <f t="shared" si="13"/>
        <v>189</v>
      </c>
      <c r="C16">
        <f t="shared" si="14"/>
        <v>56</v>
      </c>
      <c r="D16" s="1" t="str">
        <f t="shared" si="15"/>
        <v>AEBD38</v>
      </c>
      <c r="E16" s="13"/>
      <c r="F16" s="17" t="s">
        <v>41</v>
      </c>
      <c r="G16" t="s">
        <v>45</v>
      </c>
      <c r="H16" t="s">
        <v>42</v>
      </c>
      <c r="I16">
        <v>4</v>
      </c>
    </row>
    <row r="17" spans="1:9" x14ac:dyDescent="0.25">
      <c r="A17" s="127">
        <f t="shared" si="12"/>
        <v>89</v>
      </c>
      <c r="B17" s="127">
        <f t="shared" si="13"/>
        <v>130</v>
      </c>
      <c r="C17" s="127">
        <f t="shared" si="14"/>
        <v>52</v>
      </c>
      <c r="D17" s="128" t="str">
        <f t="shared" si="15"/>
        <v>598234</v>
      </c>
      <c r="E17" s="133"/>
      <c r="F17" s="130">
        <v>598234</v>
      </c>
      <c r="G17" s="127" t="s">
        <v>46</v>
      </c>
      <c r="H17" s="127" t="s">
        <v>42</v>
      </c>
      <c r="I17" s="127">
        <v>4</v>
      </c>
    </row>
    <row r="18" spans="1:9" x14ac:dyDescent="0.25">
      <c r="A18">
        <f t="shared" ref="A18:A26" si="16">HEX2DEC(LEFT(F18,2))</f>
        <v>0</v>
      </c>
      <c r="B18">
        <f t="shared" ref="B18:B26" si="17">HEX2DEC(RIGHT(LEFT(F18,4),2))</f>
        <v>59</v>
      </c>
      <c r="C18">
        <f t="shared" ref="C18:C26" si="18">HEX2DEC(RIGHT(F18,2))</f>
        <v>70</v>
      </c>
      <c r="D18" s="1" t="str">
        <f t="shared" ref="D18:D26" si="19">IF(ISODD(LEN(DEC2HEX(A18))),"0","")&amp;DEC2HEX(A18)&amp;IF(ISODD(LEN(DEC2HEX(B18))),"0","")&amp;DEC2HEX(B18)&amp;IF(ISODD(LEN(DEC2HEX(C18))),"0","")&amp;DEC2HEX(C18)</f>
        <v>003B46</v>
      </c>
      <c r="E18" s="14"/>
      <c r="F18" s="17" t="s">
        <v>47</v>
      </c>
      <c r="G18" t="s">
        <v>52</v>
      </c>
      <c r="H18" t="s">
        <v>51</v>
      </c>
      <c r="I18">
        <v>5</v>
      </c>
    </row>
    <row r="19" spans="1:9" x14ac:dyDescent="0.25">
      <c r="A19" s="134">
        <f t="shared" si="16"/>
        <v>7</v>
      </c>
      <c r="B19" s="134">
        <f t="shared" si="17"/>
        <v>87</v>
      </c>
      <c r="C19" s="134">
        <f t="shared" si="18"/>
        <v>91</v>
      </c>
      <c r="D19" s="135" t="str">
        <f t="shared" si="19"/>
        <v>07575B</v>
      </c>
      <c r="E19" s="136"/>
      <c r="F19" s="137" t="s">
        <v>48</v>
      </c>
      <c r="G19" s="134" t="s">
        <v>53</v>
      </c>
      <c r="H19" s="134" t="s">
        <v>51</v>
      </c>
      <c r="I19" s="134">
        <v>5</v>
      </c>
    </row>
    <row r="20" spans="1:9" x14ac:dyDescent="0.25">
      <c r="A20" s="134">
        <f t="shared" si="16"/>
        <v>102</v>
      </c>
      <c r="B20" s="134">
        <f t="shared" si="17"/>
        <v>165</v>
      </c>
      <c r="C20" s="134">
        <f t="shared" si="18"/>
        <v>173</v>
      </c>
      <c r="D20" s="135" t="str">
        <f t="shared" si="19"/>
        <v>66A5AD</v>
      </c>
      <c r="E20" s="138"/>
      <c r="F20" s="137" t="s">
        <v>49</v>
      </c>
      <c r="G20" s="134" t="s">
        <v>54</v>
      </c>
      <c r="H20" s="134" t="s">
        <v>51</v>
      </c>
      <c r="I20" s="134">
        <v>5</v>
      </c>
    </row>
    <row r="21" spans="1:9" x14ac:dyDescent="0.25">
      <c r="A21" s="127">
        <f t="shared" si="16"/>
        <v>196</v>
      </c>
      <c r="B21" s="127">
        <f t="shared" si="17"/>
        <v>223</v>
      </c>
      <c r="C21" s="127">
        <f t="shared" si="18"/>
        <v>230</v>
      </c>
      <c r="D21" s="128" t="str">
        <f t="shared" si="19"/>
        <v>C4DFE6</v>
      </c>
      <c r="E21" s="139"/>
      <c r="F21" s="130" t="s">
        <v>50</v>
      </c>
      <c r="G21" s="127" t="s">
        <v>55</v>
      </c>
      <c r="H21" s="127" t="s">
        <v>51</v>
      </c>
      <c r="I21" s="127">
        <v>5</v>
      </c>
    </row>
    <row r="22" spans="1:9" x14ac:dyDescent="0.25">
      <c r="A22" s="140">
        <f t="shared" si="16"/>
        <v>46</v>
      </c>
      <c r="B22" s="140">
        <f t="shared" si="17"/>
        <v>70</v>
      </c>
      <c r="C22" s="140">
        <f t="shared" si="18"/>
        <v>0</v>
      </c>
      <c r="D22" s="141" t="str">
        <f t="shared" si="19"/>
        <v>2E4600</v>
      </c>
      <c r="E22" s="142"/>
      <c r="F22" s="143" t="s">
        <v>56</v>
      </c>
      <c r="G22" s="140" t="s">
        <v>61</v>
      </c>
      <c r="H22" s="140" t="s">
        <v>60</v>
      </c>
      <c r="I22" s="140">
        <v>6</v>
      </c>
    </row>
    <row r="23" spans="1:9" x14ac:dyDescent="0.25">
      <c r="A23" s="134">
        <f t="shared" si="16"/>
        <v>72</v>
      </c>
      <c r="B23" s="134">
        <f t="shared" si="17"/>
        <v>107</v>
      </c>
      <c r="C23" s="134">
        <f t="shared" si="18"/>
        <v>0</v>
      </c>
      <c r="D23" s="135" t="str">
        <f t="shared" si="19"/>
        <v>486B00</v>
      </c>
      <c r="E23" s="144"/>
      <c r="F23" s="137" t="s">
        <v>57</v>
      </c>
      <c r="G23" s="134" t="s">
        <v>62</v>
      </c>
      <c r="H23" s="134" t="s">
        <v>60</v>
      </c>
      <c r="I23" s="134">
        <v>6</v>
      </c>
    </row>
    <row r="24" spans="1:9" x14ac:dyDescent="0.25">
      <c r="A24" s="134">
        <f t="shared" si="16"/>
        <v>162</v>
      </c>
      <c r="B24" s="134">
        <f t="shared" si="17"/>
        <v>197</v>
      </c>
      <c r="C24" s="134">
        <f t="shared" si="18"/>
        <v>35</v>
      </c>
      <c r="D24" s="135" t="str">
        <f t="shared" si="19"/>
        <v>A2C523</v>
      </c>
      <c r="E24" s="145"/>
      <c r="F24" s="137" t="s">
        <v>58</v>
      </c>
      <c r="G24" s="134" t="s">
        <v>63</v>
      </c>
      <c r="H24" s="134" t="s">
        <v>60</v>
      </c>
      <c r="I24" s="134">
        <v>6</v>
      </c>
    </row>
    <row r="25" spans="1:9" x14ac:dyDescent="0.25">
      <c r="A25" s="127">
        <f t="shared" si="16"/>
        <v>125</v>
      </c>
      <c r="B25" s="127">
        <f t="shared" si="17"/>
        <v>68</v>
      </c>
      <c r="C25" s="127">
        <f t="shared" si="18"/>
        <v>39</v>
      </c>
      <c r="D25" s="128" t="str">
        <f t="shared" si="19"/>
        <v>7D4427</v>
      </c>
      <c r="E25" s="146"/>
      <c r="F25" s="130" t="s">
        <v>59</v>
      </c>
      <c r="G25" s="127" t="s">
        <v>64</v>
      </c>
      <c r="H25" s="127" t="s">
        <v>60</v>
      </c>
      <c r="I25" s="127">
        <v>6</v>
      </c>
    </row>
    <row r="26" spans="1:9" x14ac:dyDescent="0.25">
      <c r="A26">
        <f t="shared" si="16"/>
        <v>2</v>
      </c>
      <c r="B26">
        <f t="shared" si="17"/>
        <v>28</v>
      </c>
      <c r="C26">
        <f t="shared" si="18"/>
        <v>30</v>
      </c>
      <c r="D26" s="1" t="str">
        <f t="shared" si="19"/>
        <v>021C1E</v>
      </c>
      <c r="E26" s="15"/>
      <c r="F26" s="17" t="s">
        <v>65</v>
      </c>
      <c r="G26" t="s">
        <v>70</v>
      </c>
      <c r="H26" t="s">
        <v>69</v>
      </c>
      <c r="I26">
        <v>7</v>
      </c>
    </row>
    <row r="27" spans="1:9" x14ac:dyDescent="0.25">
      <c r="A27">
        <f t="shared" ref="A27:A215" si="20">HEX2DEC(LEFT(F27,2))</f>
        <v>0</v>
      </c>
      <c r="B27">
        <f t="shared" ref="B27:B215" si="21">HEX2DEC(RIGHT(LEFT(F27,4),2))</f>
        <v>68</v>
      </c>
      <c r="C27">
        <f t="shared" ref="C27:C215" si="22">HEX2DEC(RIGHT(F27,2))</f>
        <v>69</v>
      </c>
      <c r="D27" s="1" t="str">
        <f t="shared" ref="D27:D215" si="23">IF(ISODD(LEN(DEC2HEX(A27))),"0","")&amp;DEC2HEX(A27)&amp;IF(ISODD(LEN(DEC2HEX(B27))),"0","")&amp;DEC2HEX(B27)&amp;IF(ISODD(LEN(DEC2HEX(C27))),"0","")&amp;DEC2HEX(C27)</f>
        <v>004445</v>
      </c>
      <c r="E27" s="18"/>
      <c r="F27" s="17" t="s">
        <v>68</v>
      </c>
      <c r="G27" t="s">
        <v>71</v>
      </c>
      <c r="H27" t="s">
        <v>69</v>
      </c>
      <c r="I27">
        <v>7</v>
      </c>
    </row>
    <row r="28" spans="1:9" x14ac:dyDescent="0.25">
      <c r="A28">
        <f t="shared" si="20"/>
        <v>44</v>
      </c>
      <c r="B28">
        <f t="shared" si="21"/>
        <v>120</v>
      </c>
      <c r="C28">
        <f t="shared" si="22"/>
        <v>115</v>
      </c>
      <c r="D28" s="1" t="str">
        <f t="shared" si="23"/>
        <v>2C7873</v>
      </c>
      <c r="E28" s="16"/>
      <c r="F28" s="17" t="s">
        <v>66</v>
      </c>
      <c r="G28" t="s">
        <v>72</v>
      </c>
      <c r="H28" t="s">
        <v>69</v>
      </c>
      <c r="I28">
        <v>7</v>
      </c>
    </row>
    <row r="29" spans="1:9" x14ac:dyDescent="0.25">
      <c r="A29" s="127">
        <f t="shared" si="20"/>
        <v>111</v>
      </c>
      <c r="B29" s="127">
        <f t="shared" si="21"/>
        <v>185</v>
      </c>
      <c r="C29" s="127">
        <f t="shared" si="22"/>
        <v>143</v>
      </c>
      <c r="D29" s="128" t="str">
        <f t="shared" si="23"/>
        <v>6FB98F</v>
      </c>
      <c r="E29" s="147"/>
      <c r="F29" s="130" t="s">
        <v>67</v>
      </c>
      <c r="G29" s="127" t="s">
        <v>73</v>
      </c>
      <c r="H29" s="127" t="s">
        <v>69</v>
      </c>
      <c r="I29" s="127">
        <v>7</v>
      </c>
    </row>
    <row r="30" spans="1:9" x14ac:dyDescent="0.25">
      <c r="A30">
        <f t="shared" si="20"/>
        <v>55</v>
      </c>
      <c r="B30">
        <f t="shared" si="21"/>
        <v>94</v>
      </c>
      <c r="C30">
        <f t="shared" si="22"/>
        <v>151</v>
      </c>
      <c r="D30" s="1" t="str">
        <f t="shared" si="23"/>
        <v>375E97</v>
      </c>
      <c r="E30" s="19"/>
      <c r="F30" s="17" t="s">
        <v>74</v>
      </c>
      <c r="G30" t="s">
        <v>79</v>
      </c>
      <c r="H30" t="s">
        <v>78</v>
      </c>
      <c r="I30">
        <v>8</v>
      </c>
    </row>
    <row r="31" spans="1:9" x14ac:dyDescent="0.25">
      <c r="A31">
        <f t="shared" si="20"/>
        <v>251</v>
      </c>
      <c r="B31">
        <f t="shared" si="21"/>
        <v>101</v>
      </c>
      <c r="C31">
        <f t="shared" si="22"/>
        <v>66</v>
      </c>
      <c r="D31" s="1" t="str">
        <f t="shared" si="23"/>
        <v>FB6542</v>
      </c>
      <c r="E31" s="20"/>
      <c r="F31" s="17" t="s">
        <v>75</v>
      </c>
      <c r="G31" t="s">
        <v>80</v>
      </c>
      <c r="H31" t="s">
        <v>78</v>
      </c>
      <c r="I31">
        <v>8</v>
      </c>
    </row>
    <row r="32" spans="1:9" x14ac:dyDescent="0.25">
      <c r="A32" s="134">
        <f t="shared" si="20"/>
        <v>255</v>
      </c>
      <c r="B32" s="134">
        <f t="shared" si="21"/>
        <v>187</v>
      </c>
      <c r="C32" s="134">
        <f t="shared" si="22"/>
        <v>0</v>
      </c>
      <c r="D32" s="135" t="str">
        <f t="shared" si="23"/>
        <v>FFBB00</v>
      </c>
      <c r="E32" s="148"/>
      <c r="F32" s="137" t="s">
        <v>76</v>
      </c>
      <c r="G32" s="134" t="s">
        <v>81</v>
      </c>
      <c r="H32" s="134" t="s">
        <v>78</v>
      </c>
      <c r="I32" s="134">
        <v>8</v>
      </c>
    </row>
    <row r="33" spans="1:9" x14ac:dyDescent="0.25">
      <c r="A33" s="127">
        <f t="shared" si="20"/>
        <v>63</v>
      </c>
      <c r="B33" s="127">
        <f t="shared" si="21"/>
        <v>104</v>
      </c>
      <c r="C33" s="127">
        <f t="shared" si="22"/>
        <v>28</v>
      </c>
      <c r="D33" s="128" t="str">
        <f t="shared" si="23"/>
        <v>3F681C</v>
      </c>
      <c r="E33" s="149"/>
      <c r="F33" s="130" t="s">
        <v>77</v>
      </c>
      <c r="G33" s="127" t="s">
        <v>62</v>
      </c>
      <c r="H33" s="127" t="s">
        <v>78</v>
      </c>
      <c r="I33" s="127">
        <v>8</v>
      </c>
    </row>
    <row r="34" spans="1:9" x14ac:dyDescent="0.25">
      <c r="A34">
        <f t="shared" si="20"/>
        <v>152</v>
      </c>
      <c r="B34">
        <f t="shared" si="21"/>
        <v>219</v>
      </c>
      <c r="C34">
        <f t="shared" si="22"/>
        <v>198</v>
      </c>
      <c r="D34" s="1" t="str">
        <f t="shared" si="23"/>
        <v>98DBC6</v>
      </c>
      <c r="E34" s="21"/>
      <c r="F34" s="17" t="s">
        <v>82</v>
      </c>
      <c r="G34" t="s">
        <v>87</v>
      </c>
      <c r="H34" t="s">
        <v>86</v>
      </c>
      <c r="I34">
        <v>9</v>
      </c>
    </row>
    <row r="35" spans="1:9" x14ac:dyDescent="0.25">
      <c r="A35">
        <f t="shared" si="20"/>
        <v>91</v>
      </c>
      <c r="B35">
        <f t="shared" si="21"/>
        <v>200</v>
      </c>
      <c r="C35">
        <f t="shared" si="22"/>
        <v>172</v>
      </c>
      <c r="D35" s="1" t="str">
        <f t="shared" si="23"/>
        <v>5BC8AC</v>
      </c>
      <c r="E35" s="22"/>
      <c r="F35" s="17" t="s">
        <v>83</v>
      </c>
      <c r="G35" t="s">
        <v>88</v>
      </c>
      <c r="H35" t="s">
        <v>86</v>
      </c>
      <c r="I35">
        <v>9</v>
      </c>
    </row>
    <row r="36" spans="1:9" x14ac:dyDescent="0.25">
      <c r="A36">
        <f t="shared" si="20"/>
        <v>230</v>
      </c>
      <c r="B36">
        <f t="shared" si="21"/>
        <v>215</v>
      </c>
      <c r="C36">
        <f t="shared" si="22"/>
        <v>42</v>
      </c>
      <c r="D36" s="1" t="str">
        <f t="shared" si="23"/>
        <v>E6D72A</v>
      </c>
      <c r="E36" s="23"/>
      <c r="F36" s="17" t="s">
        <v>84</v>
      </c>
      <c r="G36" t="s">
        <v>89</v>
      </c>
      <c r="H36" t="s">
        <v>86</v>
      </c>
      <c r="I36">
        <v>9</v>
      </c>
    </row>
    <row r="37" spans="1:9" x14ac:dyDescent="0.25">
      <c r="A37" s="127">
        <f t="shared" si="20"/>
        <v>241</v>
      </c>
      <c r="B37" s="127">
        <f t="shared" si="21"/>
        <v>141</v>
      </c>
      <c r="C37" s="127">
        <f t="shared" si="22"/>
        <v>158</v>
      </c>
      <c r="D37" s="128" t="str">
        <f t="shared" si="23"/>
        <v>F18D9E</v>
      </c>
      <c r="E37" s="150"/>
      <c r="F37" s="130" t="s">
        <v>85</v>
      </c>
      <c r="G37" s="127" t="s">
        <v>90</v>
      </c>
      <c r="H37" s="127" t="s">
        <v>86</v>
      </c>
      <c r="I37" s="127">
        <v>9</v>
      </c>
    </row>
    <row r="38" spans="1:9" x14ac:dyDescent="0.25">
      <c r="A38">
        <f t="shared" si="20"/>
        <v>50</v>
      </c>
      <c r="B38">
        <f t="shared" si="21"/>
        <v>72</v>
      </c>
      <c r="C38">
        <f t="shared" si="22"/>
        <v>81</v>
      </c>
      <c r="D38" s="1" t="str">
        <f t="shared" si="23"/>
        <v>324851</v>
      </c>
      <c r="E38" s="24"/>
      <c r="F38" s="17" t="s">
        <v>91</v>
      </c>
      <c r="G38" t="s">
        <v>96</v>
      </c>
      <c r="H38" t="s">
        <v>95</v>
      </c>
      <c r="I38">
        <v>10</v>
      </c>
    </row>
    <row r="39" spans="1:9" x14ac:dyDescent="0.25">
      <c r="A39">
        <f t="shared" si="20"/>
        <v>134</v>
      </c>
      <c r="B39">
        <f t="shared" si="21"/>
        <v>172</v>
      </c>
      <c r="C39">
        <f t="shared" si="22"/>
        <v>65</v>
      </c>
      <c r="D39" s="1" t="str">
        <f t="shared" si="23"/>
        <v>86AC41</v>
      </c>
      <c r="E39" s="25"/>
      <c r="F39" s="17" t="s">
        <v>92</v>
      </c>
      <c r="G39" t="s">
        <v>97</v>
      </c>
      <c r="H39" t="s">
        <v>95</v>
      </c>
      <c r="I39">
        <v>10</v>
      </c>
    </row>
    <row r="40" spans="1:9" x14ac:dyDescent="0.25">
      <c r="A40">
        <f t="shared" si="20"/>
        <v>52</v>
      </c>
      <c r="B40">
        <f t="shared" si="21"/>
        <v>103</v>
      </c>
      <c r="C40">
        <f t="shared" si="22"/>
        <v>92</v>
      </c>
      <c r="D40" s="1" t="str">
        <f t="shared" si="23"/>
        <v>34675C</v>
      </c>
      <c r="E40" s="26"/>
      <c r="F40" s="17" t="s">
        <v>93</v>
      </c>
      <c r="G40" t="s">
        <v>98</v>
      </c>
      <c r="H40" t="s">
        <v>95</v>
      </c>
      <c r="I40">
        <v>10</v>
      </c>
    </row>
    <row r="41" spans="1:9" x14ac:dyDescent="0.25">
      <c r="A41" s="127">
        <f t="shared" si="20"/>
        <v>125</v>
      </c>
      <c r="B41" s="127">
        <f t="shared" si="21"/>
        <v>163</v>
      </c>
      <c r="C41" s="127">
        <f t="shared" si="22"/>
        <v>161</v>
      </c>
      <c r="D41" s="128" t="str">
        <f t="shared" si="23"/>
        <v>7DA3A1</v>
      </c>
      <c r="E41" s="151"/>
      <c r="F41" s="130" t="s">
        <v>94</v>
      </c>
      <c r="G41" s="127" t="s">
        <v>25</v>
      </c>
      <c r="H41" s="127" t="s">
        <v>95</v>
      </c>
      <c r="I41" s="127">
        <v>10</v>
      </c>
    </row>
    <row r="42" spans="1:9" x14ac:dyDescent="0.25">
      <c r="A42">
        <f t="shared" si="20"/>
        <v>76</v>
      </c>
      <c r="B42">
        <f t="shared" si="21"/>
        <v>181</v>
      </c>
      <c r="C42">
        <f t="shared" si="22"/>
        <v>245</v>
      </c>
      <c r="D42" s="1" t="str">
        <f t="shared" si="23"/>
        <v>4CB5F5</v>
      </c>
      <c r="E42" s="27"/>
      <c r="F42" s="17" t="s">
        <v>99</v>
      </c>
      <c r="G42" t="s">
        <v>103</v>
      </c>
      <c r="H42" t="s">
        <v>102</v>
      </c>
      <c r="I42">
        <v>11</v>
      </c>
    </row>
    <row r="43" spans="1:9" x14ac:dyDescent="0.25">
      <c r="A43">
        <f t="shared" si="20"/>
        <v>183</v>
      </c>
      <c r="B43">
        <f t="shared" si="21"/>
        <v>184</v>
      </c>
      <c r="C43">
        <f t="shared" si="22"/>
        <v>182</v>
      </c>
      <c r="D43" s="1" t="str">
        <f t="shared" si="23"/>
        <v>B7B8B6</v>
      </c>
      <c r="E43" s="28"/>
      <c r="F43" s="17" t="s">
        <v>100</v>
      </c>
      <c r="G43" t="s">
        <v>104</v>
      </c>
      <c r="H43" t="s">
        <v>102</v>
      </c>
      <c r="I43">
        <v>11</v>
      </c>
    </row>
    <row r="44" spans="1:9" x14ac:dyDescent="0.25">
      <c r="A44">
        <f t="shared" si="20"/>
        <v>52</v>
      </c>
      <c r="B44">
        <f t="shared" si="21"/>
        <v>103</v>
      </c>
      <c r="C44">
        <f t="shared" si="22"/>
        <v>92</v>
      </c>
      <c r="D44" s="1" t="str">
        <f t="shared" si="23"/>
        <v>34675C</v>
      </c>
      <c r="E44" s="26"/>
      <c r="F44" s="17" t="s">
        <v>93</v>
      </c>
      <c r="G44" t="s">
        <v>105</v>
      </c>
      <c r="H44" t="s">
        <v>102</v>
      </c>
      <c r="I44">
        <v>11</v>
      </c>
    </row>
    <row r="45" spans="1:9" x14ac:dyDescent="0.25">
      <c r="A45" s="127">
        <f t="shared" si="20"/>
        <v>179</v>
      </c>
      <c r="B45" s="127">
        <f t="shared" si="21"/>
        <v>193</v>
      </c>
      <c r="C45" s="127">
        <f t="shared" si="22"/>
        <v>0</v>
      </c>
      <c r="D45" s="128" t="str">
        <f t="shared" si="23"/>
        <v>B3C100</v>
      </c>
      <c r="E45" s="152"/>
      <c r="F45" s="130" t="s">
        <v>101</v>
      </c>
      <c r="G45" s="127" t="s">
        <v>106</v>
      </c>
      <c r="H45" s="127" t="s">
        <v>102</v>
      </c>
      <c r="I45" s="127">
        <v>11</v>
      </c>
    </row>
    <row r="46" spans="1:9" x14ac:dyDescent="0.25">
      <c r="A46">
        <f t="shared" si="20"/>
        <v>244</v>
      </c>
      <c r="B46">
        <f t="shared" si="21"/>
        <v>204</v>
      </c>
      <c r="C46">
        <f t="shared" si="22"/>
        <v>112</v>
      </c>
      <c r="D46" s="1" t="str">
        <f t="shared" si="23"/>
        <v>F4CC70</v>
      </c>
      <c r="E46" s="29"/>
      <c r="F46" s="17" t="s">
        <v>107</v>
      </c>
      <c r="G46" t="s">
        <v>112</v>
      </c>
      <c r="H46" t="s">
        <v>111</v>
      </c>
      <c r="I46">
        <v>12</v>
      </c>
    </row>
    <row r="47" spans="1:9" x14ac:dyDescent="0.25">
      <c r="A47">
        <f t="shared" si="20"/>
        <v>222</v>
      </c>
      <c r="B47">
        <f t="shared" si="21"/>
        <v>122</v>
      </c>
      <c r="C47">
        <f t="shared" si="22"/>
        <v>34</v>
      </c>
      <c r="D47" s="1" t="str">
        <f t="shared" si="23"/>
        <v>DE7A22</v>
      </c>
      <c r="E47" s="30"/>
      <c r="F47" s="17" t="s">
        <v>108</v>
      </c>
      <c r="G47" t="s">
        <v>113</v>
      </c>
      <c r="H47" t="s">
        <v>111</v>
      </c>
      <c r="I47">
        <v>12</v>
      </c>
    </row>
    <row r="48" spans="1:9" x14ac:dyDescent="0.25">
      <c r="A48" s="134">
        <f t="shared" si="20"/>
        <v>32</v>
      </c>
      <c r="B48" s="134">
        <f t="shared" si="21"/>
        <v>148</v>
      </c>
      <c r="C48" s="134">
        <f t="shared" si="22"/>
        <v>139</v>
      </c>
      <c r="D48" s="135" t="str">
        <f t="shared" si="23"/>
        <v>20948B</v>
      </c>
      <c r="E48" s="153"/>
      <c r="F48" s="137" t="s">
        <v>109</v>
      </c>
      <c r="G48" s="134" t="s">
        <v>55</v>
      </c>
      <c r="H48" s="134" t="s">
        <v>111</v>
      </c>
      <c r="I48" s="134">
        <v>12</v>
      </c>
    </row>
    <row r="49" spans="1:9" x14ac:dyDescent="0.25">
      <c r="A49" s="127">
        <f t="shared" si="20"/>
        <v>106</v>
      </c>
      <c r="B49" s="127">
        <f t="shared" si="21"/>
        <v>177</v>
      </c>
      <c r="C49" s="127">
        <f t="shared" si="22"/>
        <v>135</v>
      </c>
      <c r="D49" s="128" t="str">
        <f t="shared" si="23"/>
        <v>6AB187</v>
      </c>
      <c r="E49" s="154"/>
      <c r="F49" s="130" t="s">
        <v>110</v>
      </c>
      <c r="G49" s="127" t="s">
        <v>114</v>
      </c>
      <c r="H49" s="127" t="s">
        <v>111</v>
      </c>
      <c r="I49" s="127">
        <v>12</v>
      </c>
    </row>
    <row r="50" spans="1:9" x14ac:dyDescent="0.25">
      <c r="A50">
        <f t="shared" si="20"/>
        <v>141</v>
      </c>
      <c r="B50">
        <f t="shared" si="21"/>
        <v>35</v>
      </c>
      <c r="C50">
        <f t="shared" si="22"/>
        <v>15</v>
      </c>
      <c r="D50" s="1" t="str">
        <f t="shared" si="23"/>
        <v>8D230F</v>
      </c>
      <c r="E50" s="31"/>
      <c r="F50" s="17" t="s">
        <v>115</v>
      </c>
      <c r="G50" t="s">
        <v>120</v>
      </c>
      <c r="H50" t="s">
        <v>119</v>
      </c>
      <c r="I50">
        <v>13</v>
      </c>
    </row>
    <row r="51" spans="1:9" x14ac:dyDescent="0.25">
      <c r="A51">
        <f t="shared" si="20"/>
        <v>30</v>
      </c>
      <c r="B51">
        <f t="shared" si="21"/>
        <v>67</v>
      </c>
      <c r="C51">
        <f t="shared" si="22"/>
        <v>76</v>
      </c>
      <c r="D51" s="1" t="str">
        <f t="shared" si="23"/>
        <v>1E434C</v>
      </c>
      <c r="E51" s="32"/>
      <c r="F51" s="17" t="s">
        <v>116</v>
      </c>
      <c r="G51" t="s">
        <v>61</v>
      </c>
      <c r="H51" t="s">
        <v>119</v>
      </c>
      <c r="I51">
        <v>13</v>
      </c>
    </row>
    <row r="52" spans="1:9" x14ac:dyDescent="0.25">
      <c r="A52">
        <f t="shared" si="20"/>
        <v>155</v>
      </c>
      <c r="B52">
        <f t="shared" si="21"/>
        <v>79</v>
      </c>
      <c r="C52">
        <f t="shared" si="22"/>
        <v>15</v>
      </c>
      <c r="D52" s="1" t="str">
        <f t="shared" si="23"/>
        <v>9B4F0F</v>
      </c>
      <c r="E52" s="33"/>
      <c r="F52" s="17" t="s">
        <v>117</v>
      </c>
      <c r="G52" t="s">
        <v>121</v>
      </c>
      <c r="H52" t="s">
        <v>119</v>
      </c>
      <c r="I52">
        <v>13</v>
      </c>
    </row>
    <row r="53" spans="1:9" x14ac:dyDescent="0.25">
      <c r="A53" s="127">
        <f t="shared" si="20"/>
        <v>201</v>
      </c>
      <c r="B53" s="127">
        <f t="shared" si="21"/>
        <v>158</v>
      </c>
      <c r="C53" s="127">
        <f t="shared" si="22"/>
        <v>16</v>
      </c>
      <c r="D53" s="128" t="str">
        <f t="shared" si="23"/>
        <v>C99E10</v>
      </c>
      <c r="E53" s="155"/>
      <c r="F53" s="130" t="s">
        <v>118</v>
      </c>
      <c r="G53" s="127" t="s">
        <v>122</v>
      </c>
      <c r="H53" s="127" t="s">
        <v>119</v>
      </c>
      <c r="I53" s="127">
        <v>13</v>
      </c>
    </row>
    <row r="54" spans="1:9" x14ac:dyDescent="0.25">
      <c r="A54">
        <f t="shared" si="20"/>
        <v>241</v>
      </c>
      <c r="B54">
        <f t="shared" si="21"/>
        <v>241</v>
      </c>
      <c r="C54">
        <f t="shared" si="22"/>
        <v>242</v>
      </c>
      <c r="D54" s="1" t="str">
        <f t="shared" si="23"/>
        <v>F1F1F2</v>
      </c>
      <c r="E54" s="34"/>
      <c r="F54" s="17" t="s">
        <v>123</v>
      </c>
      <c r="G54" t="s">
        <v>128</v>
      </c>
      <c r="H54" t="s">
        <v>127</v>
      </c>
      <c r="I54">
        <v>14</v>
      </c>
    </row>
    <row r="55" spans="1:9" x14ac:dyDescent="0.25">
      <c r="A55">
        <f t="shared" si="20"/>
        <v>188</v>
      </c>
      <c r="B55">
        <f t="shared" si="21"/>
        <v>186</v>
      </c>
      <c r="C55">
        <f t="shared" si="22"/>
        <v>190</v>
      </c>
      <c r="D55" s="1" t="str">
        <f t="shared" si="23"/>
        <v>BCBABE</v>
      </c>
      <c r="E55" s="35"/>
      <c r="F55" s="17" t="s">
        <v>124</v>
      </c>
      <c r="G55" t="s">
        <v>129</v>
      </c>
      <c r="H55" t="s">
        <v>127</v>
      </c>
      <c r="I55">
        <v>14</v>
      </c>
    </row>
    <row r="56" spans="1:9" x14ac:dyDescent="0.25">
      <c r="A56" s="134">
        <f t="shared" si="20"/>
        <v>161</v>
      </c>
      <c r="B56" s="134">
        <f t="shared" si="21"/>
        <v>214</v>
      </c>
      <c r="C56" s="134">
        <f t="shared" si="22"/>
        <v>226</v>
      </c>
      <c r="D56" s="135" t="str">
        <f t="shared" si="23"/>
        <v>A1D6E2</v>
      </c>
      <c r="E56" s="156"/>
      <c r="F56" s="137" t="s">
        <v>125</v>
      </c>
      <c r="G56" s="134" t="s">
        <v>130</v>
      </c>
      <c r="H56" s="134" t="s">
        <v>127</v>
      </c>
      <c r="I56" s="134">
        <v>14</v>
      </c>
    </row>
    <row r="57" spans="1:9" x14ac:dyDescent="0.25">
      <c r="A57" s="127">
        <f t="shared" si="20"/>
        <v>25</v>
      </c>
      <c r="B57" s="127">
        <f t="shared" si="21"/>
        <v>149</v>
      </c>
      <c r="C57" s="127">
        <f t="shared" si="22"/>
        <v>173</v>
      </c>
      <c r="D57" s="128" t="str">
        <f t="shared" si="23"/>
        <v>1995AD</v>
      </c>
      <c r="E57" s="157"/>
      <c r="F57" s="130" t="s">
        <v>126</v>
      </c>
      <c r="G57" s="127" t="s">
        <v>131</v>
      </c>
      <c r="H57" s="127" t="s">
        <v>127</v>
      </c>
      <c r="I57" s="127">
        <v>14</v>
      </c>
    </row>
    <row r="58" spans="1:9" x14ac:dyDescent="0.25">
      <c r="A58">
        <f t="shared" si="20"/>
        <v>154</v>
      </c>
      <c r="B58">
        <f t="shared" si="21"/>
        <v>158</v>
      </c>
      <c r="C58">
        <f t="shared" si="22"/>
        <v>171</v>
      </c>
      <c r="D58" s="1" t="str">
        <f t="shared" si="23"/>
        <v>9A9EAB</v>
      </c>
      <c r="E58" s="36"/>
      <c r="F58" s="17" t="s">
        <v>132</v>
      </c>
      <c r="G58" t="s">
        <v>137</v>
      </c>
      <c r="H58" t="s">
        <v>136</v>
      </c>
      <c r="I58">
        <v>15</v>
      </c>
    </row>
    <row r="59" spans="1:9" x14ac:dyDescent="0.25">
      <c r="A59" s="134">
        <f t="shared" si="20"/>
        <v>93</v>
      </c>
      <c r="B59" s="134">
        <f t="shared" si="21"/>
        <v>83</v>
      </c>
      <c r="C59" s="134">
        <f t="shared" si="22"/>
        <v>94</v>
      </c>
      <c r="D59" s="135" t="str">
        <f t="shared" si="23"/>
        <v>5D535E</v>
      </c>
      <c r="E59" s="158"/>
      <c r="F59" s="137" t="s">
        <v>133</v>
      </c>
      <c r="G59" s="134" t="s">
        <v>138</v>
      </c>
      <c r="H59" s="134" t="s">
        <v>136</v>
      </c>
      <c r="I59" s="134">
        <v>15</v>
      </c>
    </row>
    <row r="60" spans="1:9" x14ac:dyDescent="0.25">
      <c r="A60" s="134">
        <f t="shared" si="20"/>
        <v>236</v>
      </c>
      <c r="B60" s="134">
        <f t="shared" si="21"/>
        <v>150</v>
      </c>
      <c r="C60" s="134">
        <f t="shared" si="22"/>
        <v>164</v>
      </c>
      <c r="D60" s="135" t="str">
        <f t="shared" si="23"/>
        <v>EC96A4</v>
      </c>
      <c r="E60" s="159"/>
      <c r="F60" s="137" t="s">
        <v>134</v>
      </c>
      <c r="G60" s="134" t="s">
        <v>139</v>
      </c>
      <c r="H60" s="134" t="s">
        <v>136</v>
      </c>
      <c r="I60" s="134">
        <v>15</v>
      </c>
    </row>
    <row r="61" spans="1:9" x14ac:dyDescent="0.25">
      <c r="A61" s="127">
        <f t="shared" si="20"/>
        <v>223</v>
      </c>
      <c r="B61" s="127">
        <f t="shared" si="21"/>
        <v>225</v>
      </c>
      <c r="C61" s="127">
        <f t="shared" si="22"/>
        <v>102</v>
      </c>
      <c r="D61" s="128" t="str">
        <f t="shared" si="23"/>
        <v>DFE166</v>
      </c>
      <c r="E61" s="160"/>
      <c r="F61" s="130" t="s">
        <v>135</v>
      </c>
      <c r="G61" s="127" t="s">
        <v>140</v>
      </c>
      <c r="H61" s="127" t="s">
        <v>136</v>
      </c>
      <c r="I61" s="127">
        <v>15</v>
      </c>
    </row>
    <row r="62" spans="1:9" x14ac:dyDescent="0.25">
      <c r="A62" s="140">
        <f t="shared" si="20"/>
        <v>1</v>
      </c>
      <c r="B62" s="140">
        <f t="shared" si="21"/>
        <v>26</v>
      </c>
      <c r="C62" s="140">
        <f t="shared" si="22"/>
        <v>39</v>
      </c>
      <c r="D62" s="141" t="str">
        <f t="shared" si="23"/>
        <v>011A27</v>
      </c>
      <c r="E62" s="161"/>
      <c r="F62" s="143" t="s">
        <v>141</v>
      </c>
      <c r="G62" s="140" t="s">
        <v>146</v>
      </c>
      <c r="H62" s="140" t="s">
        <v>145</v>
      </c>
      <c r="I62" s="140">
        <v>16</v>
      </c>
    </row>
    <row r="63" spans="1:9" x14ac:dyDescent="0.25">
      <c r="A63" s="134">
        <f t="shared" si="20"/>
        <v>6</v>
      </c>
      <c r="B63" s="134">
        <f t="shared" si="21"/>
        <v>56</v>
      </c>
      <c r="C63" s="134">
        <f t="shared" si="22"/>
        <v>82</v>
      </c>
      <c r="D63" s="135" t="str">
        <f t="shared" si="23"/>
        <v>063852</v>
      </c>
      <c r="E63" s="162"/>
      <c r="F63" s="137" t="s">
        <v>142</v>
      </c>
      <c r="G63" s="134" t="s">
        <v>147</v>
      </c>
      <c r="H63" s="134" t="s">
        <v>145</v>
      </c>
      <c r="I63" s="134">
        <v>16</v>
      </c>
    </row>
    <row r="64" spans="1:9" x14ac:dyDescent="0.25">
      <c r="A64" s="134">
        <f t="shared" si="20"/>
        <v>240</v>
      </c>
      <c r="B64" s="134">
        <f t="shared" si="21"/>
        <v>129</v>
      </c>
      <c r="C64" s="134">
        <f t="shared" si="22"/>
        <v>15</v>
      </c>
      <c r="D64" s="135" t="str">
        <f t="shared" si="23"/>
        <v>F0810F</v>
      </c>
      <c r="E64" s="163"/>
      <c r="F64" s="137" t="s">
        <v>143</v>
      </c>
      <c r="G64" s="134" t="s">
        <v>148</v>
      </c>
      <c r="H64" s="134" t="s">
        <v>145</v>
      </c>
      <c r="I64" s="134">
        <v>16</v>
      </c>
    </row>
    <row r="65" spans="1:9" x14ac:dyDescent="0.25">
      <c r="A65" s="127">
        <f t="shared" si="20"/>
        <v>230</v>
      </c>
      <c r="B65" s="127">
        <f t="shared" si="21"/>
        <v>223</v>
      </c>
      <c r="C65" s="127">
        <f t="shared" si="22"/>
        <v>68</v>
      </c>
      <c r="D65" s="128" t="str">
        <f t="shared" si="23"/>
        <v>E6DF44</v>
      </c>
      <c r="E65" s="164"/>
      <c r="F65" s="130" t="s">
        <v>144</v>
      </c>
      <c r="G65" s="127" t="s">
        <v>149</v>
      </c>
      <c r="H65" s="127" t="s">
        <v>145</v>
      </c>
      <c r="I65" s="127">
        <v>16</v>
      </c>
    </row>
    <row r="66" spans="1:9" x14ac:dyDescent="0.25">
      <c r="A66">
        <f t="shared" si="20"/>
        <v>117</v>
      </c>
      <c r="B66">
        <f t="shared" si="21"/>
        <v>177</v>
      </c>
      <c r="C66">
        <f t="shared" si="22"/>
        <v>169</v>
      </c>
      <c r="D66" s="1" t="str">
        <f t="shared" si="23"/>
        <v>75B1A9</v>
      </c>
      <c r="E66" s="37"/>
      <c r="F66" s="17" t="s">
        <v>150</v>
      </c>
      <c r="G66" t="s">
        <v>79</v>
      </c>
      <c r="H66" t="s">
        <v>154</v>
      </c>
      <c r="I66">
        <v>17</v>
      </c>
    </row>
    <row r="67" spans="1:9" x14ac:dyDescent="0.25">
      <c r="A67">
        <f t="shared" si="20"/>
        <v>217</v>
      </c>
      <c r="B67">
        <f t="shared" si="21"/>
        <v>180</v>
      </c>
      <c r="C67">
        <f t="shared" si="22"/>
        <v>74</v>
      </c>
      <c r="D67" s="1" t="str">
        <f t="shared" si="23"/>
        <v>D9B44A</v>
      </c>
      <c r="E67" s="38"/>
      <c r="F67" s="17" t="s">
        <v>151</v>
      </c>
      <c r="G67" t="s">
        <v>155</v>
      </c>
      <c r="H67" t="s">
        <v>154</v>
      </c>
      <c r="I67">
        <v>17</v>
      </c>
    </row>
    <row r="68" spans="1:9" x14ac:dyDescent="0.25">
      <c r="A68">
        <f t="shared" si="20"/>
        <v>79</v>
      </c>
      <c r="B68">
        <f t="shared" si="21"/>
        <v>100</v>
      </c>
      <c r="C68">
        <f t="shared" si="22"/>
        <v>87</v>
      </c>
      <c r="D68" s="1" t="str">
        <f t="shared" si="23"/>
        <v>4F6457</v>
      </c>
      <c r="E68" s="39"/>
      <c r="F68" s="17" t="s">
        <v>152</v>
      </c>
      <c r="G68" t="s">
        <v>156</v>
      </c>
      <c r="H68" t="s">
        <v>154</v>
      </c>
      <c r="I68">
        <v>17</v>
      </c>
    </row>
    <row r="69" spans="1:9" x14ac:dyDescent="0.25">
      <c r="A69" s="127">
        <f t="shared" si="20"/>
        <v>172</v>
      </c>
      <c r="B69" s="127">
        <f t="shared" si="21"/>
        <v>208</v>
      </c>
      <c r="C69" s="127">
        <f t="shared" si="22"/>
        <v>192</v>
      </c>
      <c r="D69" s="128" t="str">
        <f t="shared" si="23"/>
        <v>ACD0C0</v>
      </c>
      <c r="E69" s="165"/>
      <c r="F69" s="130" t="s">
        <v>153</v>
      </c>
      <c r="G69" s="127" t="s">
        <v>25</v>
      </c>
      <c r="H69" s="127" t="s">
        <v>154</v>
      </c>
      <c r="I69" s="127">
        <v>17</v>
      </c>
    </row>
    <row r="70" spans="1:9" x14ac:dyDescent="0.25">
      <c r="A70">
        <f t="shared" si="20"/>
        <v>235</v>
      </c>
      <c r="B70">
        <f t="shared" si="21"/>
        <v>138</v>
      </c>
      <c r="C70">
        <f t="shared" si="22"/>
        <v>68</v>
      </c>
      <c r="D70" s="1" t="str">
        <f t="shared" si="23"/>
        <v>EB8A44</v>
      </c>
      <c r="E70" s="40"/>
      <c r="F70" s="17" t="s">
        <v>157</v>
      </c>
      <c r="G70" t="s">
        <v>162</v>
      </c>
      <c r="H70" t="s">
        <v>164</v>
      </c>
      <c r="I70">
        <v>18</v>
      </c>
    </row>
    <row r="71" spans="1:9" x14ac:dyDescent="0.25">
      <c r="A71">
        <f t="shared" si="20"/>
        <v>249</v>
      </c>
      <c r="B71">
        <f t="shared" si="21"/>
        <v>220</v>
      </c>
      <c r="C71">
        <f t="shared" si="22"/>
        <v>36</v>
      </c>
      <c r="D71" s="1" t="str">
        <f t="shared" si="23"/>
        <v>F9DC24</v>
      </c>
      <c r="E71" s="41"/>
      <c r="F71" s="17" t="s">
        <v>158</v>
      </c>
      <c r="G71" t="s">
        <v>159</v>
      </c>
      <c r="H71" t="s">
        <v>164</v>
      </c>
      <c r="I71">
        <v>18</v>
      </c>
    </row>
    <row r="72" spans="1:9" x14ac:dyDescent="0.25">
      <c r="A72" s="134">
        <f t="shared" si="20"/>
        <v>75</v>
      </c>
      <c r="B72" s="134">
        <f t="shared" si="21"/>
        <v>116</v>
      </c>
      <c r="C72" s="134">
        <f t="shared" si="22"/>
        <v>71</v>
      </c>
      <c r="D72" s="135" t="str">
        <f t="shared" si="23"/>
        <v>4B7447</v>
      </c>
      <c r="E72" s="166"/>
      <c r="F72" s="137" t="s">
        <v>160</v>
      </c>
      <c r="G72" s="134" t="s">
        <v>163</v>
      </c>
      <c r="H72" s="134" t="s">
        <v>164</v>
      </c>
      <c r="I72" s="134">
        <v>18</v>
      </c>
    </row>
    <row r="73" spans="1:9" x14ac:dyDescent="0.25">
      <c r="A73" s="127">
        <f t="shared" si="20"/>
        <v>142</v>
      </c>
      <c r="B73" s="127">
        <f t="shared" si="21"/>
        <v>186</v>
      </c>
      <c r="C73" s="127">
        <f t="shared" si="22"/>
        <v>67</v>
      </c>
      <c r="D73" s="128" t="str">
        <f t="shared" si="23"/>
        <v>8EBA43</v>
      </c>
      <c r="E73" s="167"/>
      <c r="F73" s="130" t="s">
        <v>161</v>
      </c>
      <c r="G73" s="127" t="s">
        <v>63</v>
      </c>
      <c r="H73" s="127" t="s">
        <v>164</v>
      </c>
      <c r="I73" s="127">
        <v>18</v>
      </c>
    </row>
    <row r="74" spans="1:9" x14ac:dyDescent="0.25">
      <c r="A74">
        <f t="shared" si="20"/>
        <v>54</v>
      </c>
      <c r="B74">
        <f t="shared" si="21"/>
        <v>50</v>
      </c>
      <c r="C74">
        <f t="shared" si="22"/>
        <v>55</v>
      </c>
      <c r="D74" s="1" t="str">
        <f t="shared" si="23"/>
        <v>363237</v>
      </c>
      <c r="E74" s="42"/>
      <c r="F74" s="17" t="s">
        <v>165</v>
      </c>
      <c r="G74" t="s">
        <v>170</v>
      </c>
      <c r="H74" t="s">
        <v>169</v>
      </c>
      <c r="I74">
        <v>19</v>
      </c>
    </row>
    <row r="75" spans="1:9" x14ac:dyDescent="0.25">
      <c r="A75" s="134">
        <f t="shared" si="20"/>
        <v>45</v>
      </c>
      <c r="B75" s="134">
        <f t="shared" si="21"/>
        <v>66</v>
      </c>
      <c r="C75" s="134">
        <f t="shared" si="22"/>
        <v>98</v>
      </c>
      <c r="D75" s="135" t="str">
        <f t="shared" si="23"/>
        <v>2D4262</v>
      </c>
      <c r="E75" s="168"/>
      <c r="F75" s="137" t="s">
        <v>166</v>
      </c>
      <c r="G75" s="134" t="s">
        <v>171</v>
      </c>
      <c r="H75" s="134" t="s">
        <v>169</v>
      </c>
      <c r="I75" s="134">
        <v>19</v>
      </c>
    </row>
    <row r="76" spans="1:9" x14ac:dyDescent="0.25">
      <c r="A76" s="134">
        <f t="shared" si="20"/>
        <v>115</v>
      </c>
      <c r="B76" s="134">
        <f t="shared" si="21"/>
        <v>96</v>
      </c>
      <c r="C76" s="134">
        <f t="shared" si="22"/>
        <v>91</v>
      </c>
      <c r="D76" s="135" t="str">
        <f t="shared" si="23"/>
        <v>73605B</v>
      </c>
      <c r="E76" s="169"/>
      <c r="F76" s="137" t="s">
        <v>167</v>
      </c>
      <c r="G76" s="134" t="s">
        <v>172</v>
      </c>
      <c r="H76" s="134" t="s">
        <v>169</v>
      </c>
      <c r="I76" s="134">
        <v>19</v>
      </c>
    </row>
    <row r="77" spans="1:9" x14ac:dyDescent="0.25">
      <c r="A77" s="127">
        <f t="shared" si="20"/>
        <v>208</v>
      </c>
      <c r="B77" s="127">
        <f t="shared" si="21"/>
        <v>150</v>
      </c>
      <c r="C77" s="127">
        <f t="shared" si="22"/>
        <v>131</v>
      </c>
      <c r="D77" s="128" t="str">
        <f t="shared" si="23"/>
        <v>D09683</v>
      </c>
      <c r="E77" s="170"/>
      <c r="F77" s="130" t="s">
        <v>168</v>
      </c>
      <c r="G77" s="127" t="s">
        <v>173</v>
      </c>
      <c r="H77" s="127" t="s">
        <v>169</v>
      </c>
      <c r="I77" s="127">
        <v>19</v>
      </c>
    </row>
    <row r="78" spans="1:9" x14ac:dyDescent="0.25">
      <c r="A78">
        <f t="shared" si="20"/>
        <v>245</v>
      </c>
      <c r="B78">
        <f t="shared" si="21"/>
        <v>37</v>
      </c>
      <c r="C78">
        <f t="shared" si="22"/>
        <v>73</v>
      </c>
      <c r="D78" s="1" t="str">
        <f t="shared" si="23"/>
        <v>F52549</v>
      </c>
      <c r="E78" s="43"/>
      <c r="F78" s="17" t="s">
        <v>174</v>
      </c>
      <c r="G78" t="s">
        <v>179</v>
      </c>
      <c r="H78" t="s">
        <v>182</v>
      </c>
      <c r="I78">
        <v>20</v>
      </c>
    </row>
    <row r="79" spans="1:9" x14ac:dyDescent="0.25">
      <c r="A79" s="134">
        <f t="shared" si="20"/>
        <v>250</v>
      </c>
      <c r="B79" s="134">
        <f t="shared" si="21"/>
        <v>103</v>
      </c>
      <c r="C79" s="134">
        <f t="shared" si="22"/>
        <v>117</v>
      </c>
      <c r="D79" s="135" t="str">
        <f t="shared" si="23"/>
        <v>FA6775</v>
      </c>
      <c r="E79" s="171"/>
      <c r="F79" s="137" t="s">
        <v>175</v>
      </c>
      <c r="G79" s="134" t="s">
        <v>180</v>
      </c>
      <c r="H79" s="134" t="s">
        <v>182</v>
      </c>
      <c r="I79" s="134">
        <v>20</v>
      </c>
    </row>
    <row r="80" spans="1:9" x14ac:dyDescent="0.25">
      <c r="A80" s="134">
        <f t="shared" si="20"/>
        <v>255</v>
      </c>
      <c r="B80" s="134">
        <f t="shared" si="21"/>
        <v>214</v>
      </c>
      <c r="C80" s="134">
        <f t="shared" si="22"/>
        <v>77</v>
      </c>
      <c r="D80" s="135" t="str">
        <f t="shared" si="23"/>
        <v>FFD64D</v>
      </c>
      <c r="E80" s="172"/>
      <c r="F80" s="137" t="s">
        <v>176</v>
      </c>
      <c r="G80" s="134" t="s">
        <v>177</v>
      </c>
      <c r="H80" s="134" t="s">
        <v>182</v>
      </c>
      <c r="I80" s="134">
        <v>20</v>
      </c>
    </row>
    <row r="81" spans="1:9" x14ac:dyDescent="0.25">
      <c r="A81" s="127">
        <f t="shared" si="20"/>
        <v>155</v>
      </c>
      <c r="B81" s="127">
        <f t="shared" si="21"/>
        <v>192</v>
      </c>
      <c r="C81" s="127">
        <f t="shared" si="22"/>
        <v>28</v>
      </c>
      <c r="D81" s="128" t="str">
        <f t="shared" si="23"/>
        <v>9BC01C</v>
      </c>
      <c r="E81" s="173"/>
      <c r="F81" s="130" t="s">
        <v>178</v>
      </c>
      <c r="G81" s="127" t="s">
        <v>181</v>
      </c>
      <c r="H81" s="127" t="s">
        <v>182</v>
      </c>
      <c r="I81" s="127">
        <v>20</v>
      </c>
    </row>
    <row r="82" spans="1:9" x14ac:dyDescent="0.25">
      <c r="A82">
        <f t="shared" si="20"/>
        <v>46</v>
      </c>
      <c r="B82">
        <f t="shared" si="21"/>
        <v>35</v>
      </c>
      <c r="C82">
        <f t="shared" si="22"/>
        <v>0</v>
      </c>
      <c r="D82" s="1" t="str">
        <f t="shared" si="23"/>
        <v>2E2300</v>
      </c>
      <c r="E82" s="44"/>
      <c r="F82" s="17" t="s">
        <v>183</v>
      </c>
      <c r="G82" t="s">
        <v>188</v>
      </c>
      <c r="H82" t="s">
        <v>187</v>
      </c>
      <c r="I82">
        <v>21</v>
      </c>
    </row>
    <row r="83" spans="1:9" x14ac:dyDescent="0.25">
      <c r="A83">
        <f t="shared" si="20"/>
        <v>110</v>
      </c>
      <c r="B83">
        <f t="shared" si="21"/>
        <v>103</v>
      </c>
      <c r="C83">
        <f t="shared" si="22"/>
        <v>2</v>
      </c>
      <c r="D83" s="1" t="str">
        <f t="shared" si="23"/>
        <v>6E6702</v>
      </c>
      <c r="E83" s="45"/>
      <c r="F83" s="17" t="s">
        <v>184</v>
      </c>
      <c r="G83" t="s">
        <v>189</v>
      </c>
      <c r="H83" t="s">
        <v>187</v>
      </c>
      <c r="I83">
        <v>21</v>
      </c>
    </row>
    <row r="84" spans="1:9" x14ac:dyDescent="0.25">
      <c r="A84">
        <f t="shared" si="20"/>
        <v>192</v>
      </c>
      <c r="B84">
        <f t="shared" si="21"/>
        <v>88</v>
      </c>
      <c r="C84">
        <f t="shared" si="22"/>
        <v>5</v>
      </c>
      <c r="D84" s="1" t="str">
        <f t="shared" si="23"/>
        <v>C05805</v>
      </c>
      <c r="E84" s="46"/>
      <c r="F84" s="17" t="s">
        <v>185</v>
      </c>
      <c r="G84" t="s">
        <v>190</v>
      </c>
      <c r="H84" t="s">
        <v>187</v>
      </c>
      <c r="I84">
        <v>21</v>
      </c>
    </row>
    <row r="85" spans="1:9" x14ac:dyDescent="0.25">
      <c r="A85" s="127">
        <f t="shared" si="20"/>
        <v>219</v>
      </c>
      <c r="B85" s="127">
        <f t="shared" si="21"/>
        <v>149</v>
      </c>
      <c r="C85" s="127">
        <f t="shared" si="22"/>
        <v>1</v>
      </c>
      <c r="D85" s="128" t="str">
        <f t="shared" si="23"/>
        <v>DB9501</v>
      </c>
      <c r="E85" s="174"/>
      <c r="F85" s="130" t="s">
        <v>186</v>
      </c>
      <c r="G85" s="127" t="s">
        <v>191</v>
      </c>
      <c r="H85" s="127" t="s">
        <v>187</v>
      </c>
      <c r="I85" s="127">
        <v>21</v>
      </c>
    </row>
    <row r="86" spans="1:9" x14ac:dyDescent="0.25">
      <c r="A86">
        <f t="shared" si="20"/>
        <v>80</v>
      </c>
      <c r="B86">
        <f t="shared" si="21"/>
        <v>49</v>
      </c>
      <c r="C86">
        <f t="shared" si="22"/>
        <v>47</v>
      </c>
      <c r="D86" s="1" t="str">
        <f t="shared" si="23"/>
        <v>50312F</v>
      </c>
      <c r="E86" s="47"/>
      <c r="F86" s="17" t="s">
        <v>192</v>
      </c>
      <c r="G86" t="s">
        <v>197</v>
      </c>
      <c r="H86" t="s">
        <v>196</v>
      </c>
      <c r="I86">
        <v>22</v>
      </c>
    </row>
    <row r="87" spans="1:9" x14ac:dyDescent="0.25">
      <c r="A87">
        <f t="shared" si="20"/>
        <v>203</v>
      </c>
      <c r="B87">
        <f t="shared" si="21"/>
        <v>0</v>
      </c>
      <c r="C87">
        <f t="shared" si="22"/>
        <v>0</v>
      </c>
      <c r="D87" s="1" t="str">
        <f t="shared" si="23"/>
        <v>CB0000</v>
      </c>
      <c r="E87" s="48"/>
      <c r="F87" s="17" t="s">
        <v>193</v>
      </c>
      <c r="G87" t="s">
        <v>198</v>
      </c>
      <c r="H87" t="s">
        <v>196</v>
      </c>
      <c r="I87">
        <v>22</v>
      </c>
    </row>
    <row r="88" spans="1:9" x14ac:dyDescent="0.25">
      <c r="A88">
        <f t="shared" si="20"/>
        <v>228</v>
      </c>
      <c r="B88">
        <f t="shared" si="21"/>
        <v>234</v>
      </c>
      <c r="C88">
        <f t="shared" si="22"/>
        <v>140</v>
      </c>
      <c r="D88" s="1" t="str">
        <f t="shared" si="23"/>
        <v>E4EA8C</v>
      </c>
      <c r="E88" s="49"/>
      <c r="F88" s="17" t="s">
        <v>194</v>
      </c>
      <c r="G88" t="s">
        <v>199</v>
      </c>
      <c r="H88" t="s">
        <v>196</v>
      </c>
      <c r="I88">
        <v>22</v>
      </c>
    </row>
    <row r="89" spans="1:9" x14ac:dyDescent="0.25">
      <c r="A89" s="127">
        <f t="shared" si="20"/>
        <v>63</v>
      </c>
      <c r="B89" s="127">
        <f t="shared" si="21"/>
        <v>108</v>
      </c>
      <c r="C89" s="127">
        <f t="shared" si="22"/>
        <v>69</v>
      </c>
      <c r="D89" s="128" t="str">
        <f t="shared" si="23"/>
        <v>3F6C45</v>
      </c>
      <c r="E89" s="175"/>
      <c r="F89" s="130" t="s">
        <v>195</v>
      </c>
      <c r="G89" s="127" t="s">
        <v>200</v>
      </c>
      <c r="H89" s="127" t="s">
        <v>196</v>
      </c>
      <c r="I89" s="127">
        <v>22</v>
      </c>
    </row>
    <row r="90" spans="1:9" x14ac:dyDescent="0.25">
      <c r="A90">
        <f t="shared" si="20"/>
        <v>52</v>
      </c>
      <c r="B90">
        <f t="shared" si="21"/>
        <v>136</v>
      </c>
      <c r="C90">
        <f t="shared" si="22"/>
        <v>140</v>
      </c>
      <c r="D90" s="1" t="str">
        <f t="shared" si="23"/>
        <v>34888C</v>
      </c>
      <c r="E90" s="50"/>
      <c r="F90" s="17" t="s">
        <v>201</v>
      </c>
      <c r="G90" t="s">
        <v>206</v>
      </c>
      <c r="H90" t="s">
        <v>208</v>
      </c>
      <c r="I90">
        <v>23</v>
      </c>
    </row>
    <row r="91" spans="1:9" x14ac:dyDescent="0.25">
      <c r="A91">
        <f t="shared" si="20"/>
        <v>124</v>
      </c>
      <c r="B91">
        <f t="shared" si="21"/>
        <v>170</v>
      </c>
      <c r="C91">
        <f t="shared" si="22"/>
        <v>45</v>
      </c>
      <c r="D91" s="1" t="str">
        <f t="shared" si="23"/>
        <v>7CAA2D</v>
      </c>
      <c r="E91" s="51"/>
      <c r="F91" s="17" t="s">
        <v>202</v>
      </c>
      <c r="G91" t="s">
        <v>207</v>
      </c>
      <c r="H91" t="s">
        <v>208</v>
      </c>
      <c r="I91">
        <v>23</v>
      </c>
    </row>
    <row r="92" spans="1:9" x14ac:dyDescent="0.25">
      <c r="A92" s="134">
        <f t="shared" si="20"/>
        <v>245</v>
      </c>
      <c r="B92" s="134">
        <f t="shared" si="21"/>
        <v>227</v>
      </c>
      <c r="C92" s="134">
        <f t="shared" si="22"/>
        <v>86</v>
      </c>
      <c r="D92" s="135" t="str">
        <f t="shared" si="23"/>
        <v>F5E356</v>
      </c>
      <c r="E92" s="176"/>
      <c r="F92" s="137" t="s">
        <v>203</v>
      </c>
      <c r="G92" s="134" t="s">
        <v>81</v>
      </c>
      <c r="H92" s="134" t="s">
        <v>208</v>
      </c>
      <c r="I92" s="134">
        <v>23</v>
      </c>
    </row>
    <row r="93" spans="1:9" x14ac:dyDescent="0.25">
      <c r="A93" s="127">
        <f t="shared" si="20"/>
        <v>203</v>
      </c>
      <c r="B93" s="127">
        <f t="shared" si="21"/>
        <v>99</v>
      </c>
      <c r="C93" s="127">
        <f t="shared" si="22"/>
        <v>24</v>
      </c>
      <c r="D93" s="128" t="str">
        <f t="shared" si="23"/>
        <v>CB6318</v>
      </c>
      <c r="E93" s="177"/>
      <c r="F93" s="130" t="s">
        <v>205</v>
      </c>
      <c r="G93" s="130" t="s">
        <v>204</v>
      </c>
      <c r="H93" s="127" t="s">
        <v>208</v>
      </c>
      <c r="I93" s="127">
        <v>23</v>
      </c>
    </row>
    <row r="94" spans="1:9" x14ac:dyDescent="0.25">
      <c r="A94">
        <f t="shared" si="20"/>
        <v>15</v>
      </c>
      <c r="B94">
        <f t="shared" si="21"/>
        <v>27</v>
      </c>
      <c r="C94">
        <f t="shared" si="22"/>
        <v>7</v>
      </c>
      <c r="D94" s="1" t="str">
        <f t="shared" si="23"/>
        <v>0F1B07</v>
      </c>
      <c r="E94" s="52"/>
      <c r="F94" s="17" t="s">
        <v>209</v>
      </c>
      <c r="G94" t="s">
        <v>214</v>
      </c>
      <c r="H94" t="s">
        <v>213</v>
      </c>
      <c r="I94">
        <v>24</v>
      </c>
    </row>
    <row r="95" spans="1:9" x14ac:dyDescent="0.25">
      <c r="A95" s="134">
        <f t="shared" si="20"/>
        <v>255</v>
      </c>
      <c r="B95" s="134">
        <f t="shared" si="21"/>
        <v>255</v>
      </c>
      <c r="C95" s="134">
        <f t="shared" si="22"/>
        <v>255</v>
      </c>
      <c r="D95" s="135" t="str">
        <f t="shared" si="23"/>
        <v>FFFFFF</v>
      </c>
      <c r="E95" s="178"/>
      <c r="F95" s="137" t="s">
        <v>210</v>
      </c>
      <c r="G95" s="134" t="s">
        <v>215</v>
      </c>
      <c r="H95" s="134" t="s">
        <v>213</v>
      </c>
      <c r="I95" s="134">
        <v>24</v>
      </c>
    </row>
    <row r="96" spans="1:9" x14ac:dyDescent="0.25">
      <c r="A96" s="134">
        <f t="shared" si="20"/>
        <v>92</v>
      </c>
      <c r="B96" s="134">
        <f t="shared" si="21"/>
        <v>130</v>
      </c>
      <c r="C96" s="134">
        <f t="shared" si="22"/>
        <v>26</v>
      </c>
      <c r="D96" s="135" t="str">
        <f t="shared" si="23"/>
        <v>5C821A</v>
      </c>
      <c r="E96" s="179"/>
      <c r="F96" s="137" t="s">
        <v>211</v>
      </c>
      <c r="G96" s="134" t="s">
        <v>216</v>
      </c>
      <c r="H96" s="134" t="s">
        <v>213</v>
      </c>
      <c r="I96" s="134">
        <v>24</v>
      </c>
    </row>
    <row r="97" spans="1:9" x14ac:dyDescent="0.25">
      <c r="A97" s="127">
        <f t="shared" si="20"/>
        <v>198</v>
      </c>
      <c r="B97" s="127">
        <f t="shared" si="21"/>
        <v>209</v>
      </c>
      <c r="C97" s="127">
        <f t="shared" si="22"/>
        <v>102</v>
      </c>
      <c r="D97" s="128" t="str">
        <f t="shared" si="23"/>
        <v>C6D166</v>
      </c>
      <c r="E97" s="180"/>
      <c r="F97" s="130" t="s">
        <v>212</v>
      </c>
      <c r="G97" s="127" t="s">
        <v>217</v>
      </c>
      <c r="H97" s="127" t="s">
        <v>213</v>
      </c>
      <c r="I97" s="127">
        <v>24</v>
      </c>
    </row>
    <row r="98" spans="1:9" x14ac:dyDescent="0.25">
      <c r="A98">
        <f t="shared" si="20"/>
        <v>0</v>
      </c>
      <c r="B98">
        <f t="shared" si="21"/>
        <v>41</v>
      </c>
      <c r="C98">
        <f t="shared" si="22"/>
        <v>60</v>
      </c>
      <c r="D98" s="1" t="str">
        <f t="shared" si="23"/>
        <v>00293C</v>
      </c>
      <c r="E98" s="53"/>
      <c r="F98" s="17" t="s">
        <v>218</v>
      </c>
      <c r="G98" t="s">
        <v>223</v>
      </c>
      <c r="H98" t="s">
        <v>222</v>
      </c>
      <c r="I98">
        <v>25</v>
      </c>
    </row>
    <row r="99" spans="1:9" x14ac:dyDescent="0.25">
      <c r="A99">
        <f t="shared" si="20"/>
        <v>30</v>
      </c>
      <c r="B99">
        <f t="shared" si="21"/>
        <v>101</v>
      </c>
      <c r="C99">
        <f t="shared" si="22"/>
        <v>109</v>
      </c>
      <c r="D99" s="1" t="str">
        <f t="shared" si="23"/>
        <v>1E656D</v>
      </c>
      <c r="E99" s="54"/>
      <c r="F99" s="17" t="s">
        <v>219</v>
      </c>
      <c r="G99" t="s">
        <v>224</v>
      </c>
      <c r="H99" t="s">
        <v>222</v>
      </c>
      <c r="I99">
        <v>25</v>
      </c>
    </row>
    <row r="100" spans="1:9" x14ac:dyDescent="0.25">
      <c r="A100">
        <f t="shared" si="20"/>
        <v>241</v>
      </c>
      <c r="B100">
        <f t="shared" si="21"/>
        <v>243</v>
      </c>
      <c r="C100">
        <f t="shared" si="22"/>
        <v>206</v>
      </c>
      <c r="D100" s="1" t="str">
        <f t="shared" si="23"/>
        <v>F1F3CE</v>
      </c>
      <c r="E100" s="55"/>
      <c r="F100" s="17" t="s">
        <v>220</v>
      </c>
      <c r="G100" t="s">
        <v>225</v>
      </c>
      <c r="H100" t="s">
        <v>222</v>
      </c>
      <c r="I100">
        <v>25</v>
      </c>
    </row>
    <row r="101" spans="1:9" x14ac:dyDescent="0.25">
      <c r="A101" s="127">
        <f t="shared" si="20"/>
        <v>246</v>
      </c>
      <c r="B101" s="127">
        <f t="shared" si="21"/>
        <v>42</v>
      </c>
      <c r="C101" s="127">
        <f t="shared" si="22"/>
        <v>0</v>
      </c>
      <c r="D101" s="128" t="str">
        <f t="shared" si="23"/>
        <v>F62A00</v>
      </c>
      <c r="E101" s="181"/>
      <c r="F101" s="130" t="s">
        <v>221</v>
      </c>
      <c r="G101" s="127" t="s">
        <v>226</v>
      </c>
      <c r="H101" s="127" t="s">
        <v>222</v>
      </c>
      <c r="I101" s="127">
        <v>25</v>
      </c>
    </row>
    <row r="102" spans="1:9" x14ac:dyDescent="0.25">
      <c r="A102">
        <f t="shared" si="20"/>
        <v>98</v>
      </c>
      <c r="B102">
        <f t="shared" si="21"/>
        <v>109</v>
      </c>
      <c r="C102">
        <f t="shared" si="22"/>
        <v>113</v>
      </c>
      <c r="D102" s="1" t="str">
        <f t="shared" si="23"/>
        <v>626D71</v>
      </c>
      <c r="E102" s="56"/>
      <c r="F102" s="17" t="s">
        <v>227</v>
      </c>
      <c r="G102" t="s">
        <v>232</v>
      </c>
      <c r="H102" t="s">
        <v>231</v>
      </c>
      <c r="I102">
        <v>26</v>
      </c>
    </row>
    <row r="103" spans="1:9" x14ac:dyDescent="0.25">
      <c r="A103">
        <f t="shared" si="20"/>
        <v>205</v>
      </c>
      <c r="B103">
        <f t="shared" si="21"/>
        <v>205</v>
      </c>
      <c r="C103">
        <f t="shared" si="22"/>
        <v>192</v>
      </c>
      <c r="D103" s="1" t="str">
        <f t="shared" si="23"/>
        <v>CDCDC0</v>
      </c>
      <c r="E103" s="57"/>
      <c r="F103" s="17" t="s">
        <v>228</v>
      </c>
      <c r="G103" t="s">
        <v>233</v>
      </c>
      <c r="H103" t="s">
        <v>231</v>
      </c>
      <c r="I103">
        <v>26</v>
      </c>
    </row>
    <row r="104" spans="1:9" x14ac:dyDescent="0.25">
      <c r="A104">
        <f t="shared" si="20"/>
        <v>221</v>
      </c>
      <c r="B104">
        <f t="shared" si="21"/>
        <v>188</v>
      </c>
      <c r="C104">
        <f t="shared" si="22"/>
        <v>149</v>
      </c>
      <c r="D104" s="1" t="str">
        <f t="shared" si="23"/>
        <v>DDBC95</v>
      </c>
      <c r="E104" s="58"/>
      <c r="F104" s="17" t="s">
        <v>229</v>
      </c>
      <c r="G104" t="s">
        <v>234</v>
      </c>
      <c r="H104" t="s">
        <v>231</v>
      </c>
      <c r="I104">
        <v>26</v>
      </c>
    </row>
    <row r="105" spans="1:9" x14ac:dyDescent="0.25">
      <c r="A105" s="127">
        <f t="shared" si="20"/>
        <v>179</v>
      </c>
      <c r="B105" s="127">
        <f t="shared" si="21"/>
        <v>136</v>
      </c>
      <c r="C105" s="127">
        <f t="shared" si="22"/>
        <v>103</v>
      </c>
      <c r="D105" s="128" t="str">
        <f t="shared" si="23"/>
        <v>B38867</v>
      </c>
      <c r="E105" s="182"/>
      <c r="F105" s="130" t="s">
        <v>230</v>
      </c>
      <c r="G105" s="127" t="s">
        <v>235</v>
      </c>
      <c r="H105" s="127" t="s">
        <v>231</v>
      </c>
      <c r="I105" s="127">
        <v>26</v>
      </c>
    </row>
    <row r="106" spans="1:9" x14ac:dyDescent="0.25">
      <c r="A106">
        <f t="shared" si="20"/>
        <v>37</v>
      </c>
      <c r="B106">
        <f t="shared" si="21"/>
        <v>128</v>
      </c>
      <c r="C106">
        <f t="shared" si="22"/>
        <v>57</v>
      </c>
      <c r="D106" s="1" t="str">
        <f t="shared" si="23"/>
        <v>258039</v>
      </c>
      <c r="E106" s="59"/>
      <c r="F106" s="17" t="s">
        <v>236</v>
      </c>
      <c r="G106" t="s">
        <v>241</v>
      </c>
      <c r="H106" t="s">
        <v>240</v>
      </c>
      <c r="I106">
        <v>27</v>
      </c>
    </row>
    <row r="107" spans="1:9" x14ac:dyDescent="0.25">
      <c r="A107" s="134">
        <f t="shared" si="20"/>
        <v>245</v>
      </c>
      <c r="B107" s="134">
        <f t="shared" si="21"/>
        <v>190</v>
      </c>
      <c r="C107" s="134">
        <f t="shared" si="22"/>
        <v>65</v>
      </c>
      <c r="D107" s="135" t="str">
        <f t="shared" si="23"/>
        <v>F5BE41</v>
      </c>
      <c r="E107" s="183"/>
      <c r="F107" s="137" t="s">
        <v>237</v>
      </c>
      <c r="G107" s="134" t="s">
        <v>242</v>
      </c>
      <c r="H107" s="134" t="s">
        <v>240</v>
      </c>
      <c r="I107" s="134">
        <v>27</v>
      </c>
    </row>
    <row r="108" spans="1:9" x14ac:dyDescent="0.25">
      <c r="A108" s="134">
        <f t="shared" si="20"/>
        <v>49</v>
      </c>
      <c r="B108" s="134">
        <f t="shared" si="21"/>
        <v>169</v>
      </c>
      <c r="C108" s="134">
        <f t="shared" si="22"/>
        <v>184</v>
      </c>
      <c r="D108" s="135" t="str">
        <f t="shared" si="23"/>
        <v>31A9B8</v>
      </c>
      <c r="E108" s="184"/>
      <c r="F108" s="137" t="s">
        <v>238</v>
      </c>
      <c r="G108" s="134" t="s">
        <v>243</v>
      </c>
      <c r="H108" s="134" t="s">
        <v>240</v>
      </c>
      <c r="I108" s="134">
        <v>27</v>
      </c>
    </row>
    <row r="109" spans="1:9" x14ac:dyDescent="0.25">
      <c r="A109" s="127">
        <f t="shared" si="20"/>
        <v>207</v>
      </c>
      <c r="B109" s="127">
        <f t="shared" si="21"/>
        <v>55</v>
      </c>
      <c r="C109" s="127">
        <f t="shared" si="22"/>
        <v>33</v>
      </c>
      <c r="D109" s="128" t="str">
        <f t="shared" si="23"/>
        <v>CF3721</v>
      </c>
      <c r="E109" s="185"/>
      <c r="F109" s="130" t="s">
        <v>239</v>
      </c>
      <c r="G109" s="127" t="s">
        <v>244</v>
      </c>
      <c r="H109" s="127" t="s">
        <v>240</v>
      </c>
      <c r="I109" s="127">
        <v>27</v>
      </c>
    </row>
    <row r="110" spans="1:9" x14ac:dyDescent="0.25">
      <c r="A110">
        <f t="shared" si="20"/>
        <v>238</v>
      </c>
      <c r="B110">
        <f t="shared" si="21"/>
        <v>105</v>
      </c>
      <c r="C110">
        <f t="shared" si="22"/>
        <v>63</v>
      </c>
      <c r="D110" s="1" t="str">
        <f t="shared" si="23"/>
        <v>EE693F</v>
      </c>
      <c r="E110" s="60"/>
      <c r="F110" s="17" t="s">
        <v>245</v>
      </c>
      <c r="G110" t="s">
        <v>250</v>
      </c>
      <c r="H110" t="s">
        <v>249</v>
      </c>
      <c r="I110">
        <v>28</v>
      </c>
    </row>
    <row r="111" spans="1:9" x14ac:dyDescent="0.25">
      <c r="A111" s="134">
        <f t="shared" si="20"/>
        <v>246</v>
      </c>
      <c r="B111" s="134">
        <f t="shared" si="21"/>
        <v>148</v>
      </c>
      <c r="C111" s="134">
        <f t="shared" si="22"/>
        <v>84</v>
      </c>
      <c r="D111" s="135" t="str">
        <f t="shared" si="23"/>
        <v>F69454</v>
      </c>
      <c r="E111" s="186"/>
      <c r="F111" s="137" t="s">
        <v>246</v>
      </c>
      <c r="G111" s="134" t="s">
        <v>148</v>
      </c>
      <c r="H111" s="134" t="s">
        <v>249</v>
      </c>
      <c r="I111" s="134">
        <v>28</v>
      </c>
    </row>
    <row r="112" spans="1:9" x14ac:dyDescent="0.25">
      <c r="A112" s="134">
        <f t="shared" si="20"/>
        <v>252</v>
      </c>
      <c r="B112" s="134">
        <f t="shared" si="21"/>
        <v>253</v>
      </c>
      <c r="C112" s="134">
        <f t="shared" si="22"/>
        <v>254</v>
      </c>
      <c r="D112" s="135" t="str">
        <f t="shared" si="23"/>
        <v>FCFDFE</v>
      </c>
      <c r="E112" s="187"/>
      <c r="F112" s="137" t="s">
        <v>247</v>
      </c>
      <c r="G112" s="134" t="s">
        <v>251</v>
      </c>
      <c r="H112" s="134" t="s">
        <v>249</v>
      </c>
      <c r="I112" s="134">
        <v>28</v>
      </c>
    </row>
    <row r="113" spans="1:9" x14ac:dyDescent="0.25">
      <c r="A113" s="127">
        <f t="shared" si="20"/>
        <v>115</v>
      </c>
      <c r="B113" s="127">
        <f t="shared" si="21"/>
        <v>159</v>
      </c>
      <c r="C113" s="127">
        <f t="shared" si="22"/>
        <v>61</v>
      </c>
      <c r="D113" s="128" t="str">
        <f t="shared" si="23"/>
        <v>739F3D</v>
      </c>
      <c r="E113" s="188"/>
      <c r="F113" s="130" t="s">
        <v>248</v>
      </c>
      <c r="G113" s="127" t="s">
        <v>252</v>
      </c>
      <c r="H113" s="127" t="s">
        <v>249</v>
      </c>
      <c r="I113" s="127">
        <v>28</v>
      </c>
    </row>
    <row r="114" spans="1:9" x14ac:dyDescent="0.25">
      <c r="A114">
        <f t="shared" si="20"/>
        <v>185</v>
      </c>
      <c r="B114">
        <f t="shared" si="21"/>
        <v>217</v>
      </c>
      <c r="C114">
        <f t="shared" si="22"/>
        <v>195</v>
      </c>
      <c r="D114" s="1" t="str">
        <f t="shared" si="23"/>
        <v>B9D9C3</v>
      </c>
      <c r="E114" s="62"/>
      <c r="F114" s="17" t="s">
        <v>253</v>
      </c>
      <c r="G114" t="s">
        <v>258</v>
      </c>
      <c r="H114" t="s">
        <v>257</v>
      </c>
      <c r="I114">
        <v>29</v>
      </c>
    </row>
    <row r="115" spans="1:9" x14ac:dyDescent="0.25">
      <c r="A115">
        <f t="shared" si="20"/>
        <v>117</v>
      </c>
      <c r="B115">
        <f t="shared" si="21"/>
        <v>42</v>
      </c>
      <c r="C115">
        <f t="shared" si="22"/>
        <v>7</v>
      </c>
      <c r="D115" s="1" t="str">
        <f t="shared" si="23"/>
        <v>752A07</v>
      </c>
      <c r="E115" s="63"/>
      <c r="F115" s="17" t="s">
        <v>254</v>
      </c>
      <c r="G115" t="s">
        <v>259</v>
      </c>
      <c r="H115" t="s">
        <v>257</v>
      </c>
      <c r="I115">
        <v>29</v>
      </c>
    </row>
    <row r="116" spans="1:9" x14ac:dyDescent="0.25">
      <c r="A116">
        <f t="shared" si="20"/>
        <v>251</v>
      </c>
      <c r="B116">
        <f t="shared" si="21"/>
        <v>203</v>
      </c>
      <c r="C116">
        <f t="shared" si="22"/>
        <v>123</v>
      </c>
      <c r="D116" s="1" t="str">
        <f t="shared" si="23"/>
        <v>FBCB7B</v>
      </c>
      <c r="E116" s="64"/>
      <c r="F116" s="17" t="s">
        <v>255</v>
      </c>
      <c r="G116" t="s">
        <v>260</v>
      </c>
      <c r="H116" t="s">
        <v>257</v>
      </c>
      <c r="I116">
        <v>29</v>
      </c>
    </row>
    <row r="117" spans="1:9" x14ac:dyDescent="0.25">
      <c r="A117" s="127">
        <f t="shared" si="20"/>
        <v>235</v>
      </c>
      <c r="B117" s="127">
        <f t="shared" si="21"/>
        <v>94</v>
      </c>
      <c r="C117" s="127">
        <f t="shared" si="22"/>
        <v>48</v>
      </c>
      <c r="D117" s="128" t="str">
        <f t="shared" si="23"/>
        <v>EB5E30</v>
      </c>
      <c r="E117" s="189"/>
      <c r="F117" s="130" t="s">
        <v>256</v>
      </c>
      <c r="G117" s="127" t="s">
        <v>244</v>
      </c>
      <c r="H117" s="127" t="s">
        <v>257</v>
      </c>
      <c r="I117" s="127">
        <v>29</v>
      </c>
    </row>
    <row r="118" spans="1:9" x14ac:dyDescent="0.25">
      <c r="A118" s="140">
        <f t="shared" si="20"/>
        <v>30</v>
      </c>
      <c r="B118" s="140">
        <f t="shared" si="21"/>
        <v>31</v>
      </c>
      <c r="C118" s="140">
        <f t="shared" si="22"/>
        <v>38</v>
      </c>
      <c r="D118" s="141" t="str">
        <f t="shared" si="23"/>
        <v>1E1F26</v>
      </c>
      <c r="E118" s="190"/>
      <c r="F118" s="143" t="s">
        <v>261</v>
      </c>
      <c r="G118" s="140" t="s">
        <v>265</v>
      </c>
      <c r="H118" s="140" t="s">
        <v>268</v>
      </c>
      <c r="I118" s="140">
        <v>30</v>
      </c>
    </row>
    <row r="119" spans="1:9" x14ac:dyDescent="0.25">
      <c r="A119" s="134">
        <f t="shared" si="20"/>
        <v>40</v>
      </c>
      <c r="B119" s="134">
        <f t="shared" si="21"/>
        <v>54</v>
      </c>
      <c r="C119" s="134">
        <f t="shared" si="22"/>
        <v>85</v>
      </c>
      <c r="D119" s="135" t="str">
        <f t="shared" si="23"/>
        <v>283655</v>
      </c>
      <c r="E119" s="191"/>
      <c r="F119" s="137" t="s">
        <v>262</v>
      </c>
      <c r="G119" s="134" t="s">
        <v>266</v>
      </c>
      <c r="H119" s="134" t="s">
        <v>268</v>
      </c>
      <c r="I119" s="134">
        <v>30</v>
      </c>
    </row>
    <row r="120" spans="1:9" x14ac:dyDescent="0.25">
      <c r="A120" s="134">
        <f t="shared" si="20"/>
        <v>77</v>
      </c>
      <c r="B120" s="134">
        <f t="shared" si="21"/>
        <v>100</v>
      </c>
      <c r="C120" s="134">
        <f t="shared" si="22"/>
        <v>141</v>
      </c>
      <c r="D120" s="135" t="str">
        <f t="shared" si="23"/>
        <v>4D648D</v>
      </c>
      <c r="E120" s="192"/>
      <c r="F120" s="137" t="s">
        <v>263</v>
      </c>
      <c r="G120" s="134" t="s">
        <v>147</v>
      </c>
      <c r="H120" s="134" t="s">
        <v>268</v>
      </c>
      <c r="I120" s="134">
        <v>30</v>
      </c>
    </row>
    <row r="121" spans="1:9" x14ac:dyDescent="0.25">
      <c r="A121" s="127">
        <f t="shared" si="20"/>
        <v>208</v>
      </c>
      <c r="B121" s="127">
        <f t="shared" si="21"/>
        <v>225</v>
      </c>
      <c r="C121" s="127">
        <f t="shared" si="22"/>
        <v>249</v>
      </c>
      <c r="D121" s="128" t="str">
        <f t="shared" si="23"/>
        <v>D0E1F9</v>
      </c>
      <c r="E121" s="193"/>
      <c r="F121" s="130" t="s">
        <v>264</v>
      </c>
      <c r="G121" s="127" t="s">
        <v>267</v>
      </c>
      <c r="H121" s="127" t="s">
        <v>268</v>
      </c>
      <c r="I121" s="127">
        <v>30</v>
      </c>
    </row>
    <row r="122" spans="1:9" x14ac:dyDescent="0.25">
      <c r="A122">
        <f t="shared" si="20"/>
        <v>247</v>
      </c>
      <c r="B122">
        <f t="shared" si="21"/>
        <v>0</v>
      </c>
      <c r="C122">
        <f t="shared" si="22"/>
        <v>37</v>
      </c>
      <c r="D122" s="1" t="str">
        <f t="shared" si="23"/>
        <v>F70025</v>
      </c>
      <c r="E122" s="65"/>
      <c r="F122" s="17" t="s">
        <v>269</v>
      </c>
      <c r="G122" t="s">
        <v>274</v>
      </c>
      <c r="H122" t="s">
        <v>273</v>
      </c>
      <c r="I122">
        <v>31</v>
      </c>
    </row>
    <row r="123" spans="1:9" x14ac:dyDescent="0.25">
      <c r="A123">
        <f t="shared" si="20"/>
        <v>247</v>
      </c>
      <c r="B123">
        <f t="shared" si="21"/>
        <v>239</v>
      </c>
      <c r="C123">
        <f t="shared" si="22"/>
        <v>226</v>
      </c>
      <c r="D123" s="1" t="str">
        <f t="shared" si="23"/>
        <v>F7EFE2</v>
      </c>
      <c r="E123" s="66"/>
      <c r="F123" s="17" t="s">
        <v>270</v>
      </c>
      <c r="G123" t="s">
        <v>130</v>
      </c>
      <c r="H123" t="s">
        <v>273</v>
      </c>
      <c r="I123">
        <v>31</v>
      </c>
    </row>
    <row r="124" spans="1:9" x14ac:dyDescent="0.25">
      <c r="A124">
        <f t="shared" si="20"/>
        <v>242</v>
      </c>
      <c r="B124">
        <f t="shared" si="21"/>
        <v>92</v>
      </c>
      <c r="C124">
        <f t="shared" si="22"/>
        <v>0</v>
      </c>
      <c r="D124" s="1" t="str">
        <f t="shared" si="23"/>
        <v>F25C00</v>
      </c>
      <c r="E124" s="67"/>
      <c r="F124" s="17" t="s">
        <v>271</v>
      </c>
      <c r="G124" t="s">
        <v>275</v>
      </c>
      <c r="H124" t="s">
        <v>273</v>
      </c>
      <c r="I124">
        <v>31</v>
      </c>
    </row>
    <row r="125" spans="1:9" x14ac:dyDescent="0.25">
      <c r="A125" s="127">
        <f t="shared" si="20"/>
        <v>249</v>
      </c>
      <c r="B125" s="127">
        <f t="shared" si="21"/>
        <v>166</v>
      </c>
      <c r="C125" s="127">
        <f t="shared" si="22"/>
        <v>3</v>
      </c>
      <c r="D125" s="128" t="str">
        <f t="shared" si="23"/>
        <v>F9A603</v>
      </c>
      <c r="E125" s="194"/>
      <c r="F125" s="130" t="s">
        <v>272</v>
      </c>
      <c r="G125" s="127" t="s">
        <v>276</v>
      </c>
      <c r="H125" s="127" t="s">
        <v>273</v>
      </c>
      <c r="I125" s="127">
        <v>31</v>
      </c>
    </row>
    <row r="126" spans="1:9" x14ac:dyDescent="0.25">
      <c r="A126">
        <f t="shared" si="20"/>
        <v>161</v>
      </c>
      <c r="B126">
        <f t="shared" si="21"/>
        <v>190</v>
      </c>
      <c r="C126">
        <f t="shared" si="22"/>
        <v>149</v>
      </c>
      <c r="D126" s="1" t="str">
        <f t="shared" si="23"/>
        <v>A1BE95</v>
      </c>
      <c r="E126" s="68"/>
      <c r="F126" s="17" t="s">
        <v>277</v>
      </c>
      <c r="G126" t="s">
        <v>282</v>
      </c>
      <c r="H126" t="s">
        <v>281</v>
      </c>
      <c r="I126">
        <v>32</v>
      </c>
    </row>
    <row r="127" spans="1:9" x14ac:dyDescent="0.25">
      <c r="A127">
        <f t="shared" si="20"/>
        <v>226</v>
      </c>
      <c r="B127">
        <f t="shared" si="21"/>
        <v>223</v>
      </c>
      <c r="C127">
        <f t="shared" si="22"/>
        <v>162</v>
      </c>
      <c r="D127" s="1" t="str">
        <f t="shared" si="23"/>
        <v>E2DFA2</v>
      </c>
      <c r="E127" s="69"/>
      <c r="F127" s="17" t="s">
        <v>278</v>
      </c>
      <c r="G127" t="s">
        <v>283</v>
      </c>
      <c r="H127" t="s">
        <v>281</v>
      </c>
      <c r="I127">
        <v>32</v>
      </c>
    </row>
    <row r="128" spans="1:9" x14ac:dyDescent="0.25">
      <c r="A128" s="134">
        <f t="shared" si="20"/>
        <v>146</v>
      </c>
      <c r="B128" s="134">
        <f t="shared" si="21"/>
        <v>170</v>
      </c>
      <c r="C128" s="134">
        <f t="shared" si="22"/>
        <v>199</v>
      </c>
      <c r="D128" s="135" t="str">
        <f t="shared" si="23"/>
        <v>92AAC7</v>
      </c>
      <c r="E128" s="195"/>
      <c r="F128" s="137" t="s">
        <v>279</v>
      </c>
      <c r="G128" s="134" t="s">
        <v>284</v>
      </c>
      <c r="H128" s="134" t="s">
        <v>281</v>
      </c>
      <c r="I128" s="134">
        <v>32</v>
      </c>
    </row>
    <row r="129" spans="1:9" x14ac:dyDescent="0.25">
      <c r="A129" s="127">
        <f t="shared" si="20"/>
        <v>237</v>
      </c>
      <c r="B129" s="127">
        <f t="shared" si="21"/>
        <v>87</v>
      </c>
      <c r="C129" s="127">
        <f t="shared" si="22"/>
        <v>82</v>
      </c>
      <c r="D129" s="128" t="str">
        <f t="shared" si="23"/>
        <v>ED5752</v>
      </c>
      <c r="E129" s="196"/>
      <c r="F129" s="130" t="s">
        <v>280</v>
      </c>
      <c r="G129" s="127" t="s">
        <v>285</v>
      </c>
      <c r="H129" s="127" t="s">
        <v>281</v>
      </c>
      <c r="I129" s="127">
        <v>32</v>
      </c>
    </row>
    <row r="130" spans="1:9" x14ac:dyDescent="0.25">
      <c r="A130">
        <f t="shared" si="20"/>
        <v>72</v>
      </c>
      <c r="B130">
        <f t="shared" si="21"/>
        <v>151</v>
      </c>
      <c r="C130">
        <f t="shared" si="22"/>
        <v>216</v>
      </c>
      <c r="D130" s="1" t="str">
        <f t="shared" si="23"/>
        <v>4897D8</v>
      </c>
      <c r="E130" s="70"/>
      <c r="F130" s="17" t="s">
        <v>286</v>
      </c>
      <c r="G130" t="s">
        <v>291</v>
      </c>
      <c r="H130" t="s">
        <v>290</v>
      </c>
      <c r="I130">
        <v>33</v>
      </c>
    </row>
    <row r="131" spans="1:9" x14ac:dyDescent="0.25">
      <c r="A131">
        <f t="shared" si="20"/>
        <v>255</v>
      </c>
      <c r="B131">
        <f t="shared" si="21"/>
        <v>219</v>
      </c>
      <c r="C131">
        <f t="shared" si="22"/>
        <v>92</v>
      </c>
      <c r="D131" s="1" t="str">
        <f t="shared" si="23"/>
        <v>FFDB5C</v>
      </c>
      <c r="E131" s="71"/>
      <c r="F131" s="17" t="s">
        <v>287</v>
      </c>
      <c r="G131" t="s">
        <v>292</v>
      </c>
      <c r="H131" t="s">
        <v>290</v>
      </c>
      <c r="I131">
        <v>33</v>
      </c>
    </row>
    <row r="132" spans="1:9" x14ac:dyDescent="0.25">
      <c r="A132" s="134">
        <f t="shared" si="20"/>
        <v>250</v>
      </c>
      <c r="B132" s="134">
        <f t="shared" si="21"/>
        <v>110</v>
      </c>
      <c r="C132" s="134">
        <f t="shared" si="22"/>
        <v>89</v>
      </c>
      <c r="D132" s="135" t="str">
        <f t="shared" si="23"/>
        <v>FA6E59</v>
      </c>
      <c r="E132" s="197"/>
      <c r="F132" s="137" t="s">
        <v>288</v>
      </c>
      <c r="G132" s="134" t="s">
        <v>293</v>
      </c>
      <c r="H132" s="134" t="s">
        <v>290</v>
      </c>
      <c r="I132" s="134">
        <v>33</v>
      </c>
    </row>
    <row r="133" spans="1:9" x14ac:dyDescent="0.25">
      <c r="A133" s="127">
        <f t="shared" si="20"/>
        <v>248</v>
      </c>
      <c r="B133" s="127">
        <f t="shared" si="21"/>
        <v>160</v>
      </c>
      <c r="C133" s="127">
        <f t="shared" si="22"/>
        <v>85</v>
      </c>
      <c r="D133" s="128" t="str">
        <f t="shared" si="23"/>
        <v>F8A055</v>
      </c>
      <c r="E133" s="198"/>
      <c r="F133" s="130" t="s">
        <v>289</v>
      </c>
      <c r="G133" s="127" t="s">
        <v>294</v>
      </c>
      <c r="H133" s="127" t="s">
        <v>290</v>
      </c>
      <c r="I133" s="127">
        <v>33</v>
      </c>
    </row>
    <row r="134" spans="1:9" x14ac:dyDescent="0.25">
      <c r="A134">
        <f t="shared" si="20"/>
        <v>175</v>
      </c>
      <c r="B134">
        <f t="shared" si="21"/>
        <v>68</v>
      </c>
      <c r="C134">
        <f t="shared" si="22"/>
        <v>37</v>
      </c>
      <c r="D134" s="1" t="str">
        <f t="shared" si="23"/>
        <v>AF4425</v>
      </c>
      <c r="E134" s="72"/>
      <c r="F134" s="17" t="s">
        <v>295</v>
      </c>
      <c r="G134" t="s">
        <v>300</v>
      </c>
      <c r="H134" t="s">
        <v>299</v>
      </c>
      <c r="I134">
        <v>34</v>
      </c>
    </row>
    <row r="135" spans="1:9" x14ac:dyDescent="0.25">
      <c r="A135">
        <f t="shared" si="20"/>
        <v>102</v>
      </c>
      <c r="B135">
        <f t="shared" si="21"/>
        <v>46</v>
      </c>
      <c r="C135">
        <f t="shared" si="22"/>
        <v>28</v>
      </c>
      <c r="D135" s="1" t="str">
        <f t="shared" si="23"/>
        <v>662E1C</v>
      </c>
      <c r="E135" s="73"/>
      <c r="F135" s="17" t="s">
        <v>296</v>
      </c>
      <c r="G135" t="s">
        <v>301</v>
      </c>
      <c r="H135" t="s">
        <v>299</v>
      </c>
      <c r="I135">
        <v>34</v>
      </c>
    </row>
    <row r="136" spans="1:9" x14ac:dyDescent="0.25">
      <c r="A136">
        <f t="shared" si="20"/>
        <v>235</v>
      </c>
      <c r="B136">
        <f t="shared" si="21"/>
        <v>220</v>
      </c>
      <c r="C136">
        <f t="shared" si="22"/>
        <v>178</v>
      </c>
      <c r="D136" s="1" t="str">
        <f t="shared" si="23"/>
        <v>EBDCB2</v>
      </c>
      <c r="E136" s="74"/>
      <c r="F136" s="17" t="s">
        <v>297</v>
      </c>
      <c r="G136" t="s">
        <v>302</v>
      </c>
      <c r="H136" t="s">
        <v>299</v>
      </c>
      <c r="I136">
        <v>34</v>
      </c>
    </row>
    <row r="137" spans="1:9" x14ac:dyDescent="0.25">
      <c r="A137" s="127">
        <f t="shared" si="20"/>
        <v>201</v>
      </c>
      <c r="B137" s="127">
        <f t="shared" si="21"/>
        <v>166</v>
      </c>
      <c r="C137" s="127">
        <f t="shared" si="22"/>
        <v>107</v>
      </c>
      <c r="D137" s="128" t="str">
        <f t="shared" si="23"/>
        <v>C9A66B</v>
      </c>
      <c r="E137" s="199"/>
      <c r="F137" s="130" t="s">
        <v>298</v>
      </c>
      <c r="G137" s="127" t="s">
        <v>303</v>
      </c>
      <c r="H137" s="127" t="s">
        <v>299</v>
      </c>
      <c r="I137" s="127">
        <v>34</v>
      </c>
    </row>
    <row r="138" spans="1:9" x14ac:dyDescent="0.25">
      <c r="A138">
        <f t="shared" si="20"/>
        <v>193</v>
      </c>
      <c r="B138">
        <f t="shared" si="21"/>
        <v>225</v>
      </c>
      <c r="C138">
        <f t="shared" si="22"/>
        <v>220</v>
      </c>
      <c r="D138" s="1" t="str">
        <f t="shared" si="23"/>
        <v>C1E1DC</v>
      </c>
      <c r="E138" s="75"/>
      <c r="F138" s="17" t="s">
        <v>304</v>
      </c>
      <c r="G138" t="s">
        <v>309</v>
      </c>
      <c r="H138" t="s">
        <v>308</v>
      </c>
      <c r="I138">
        <v>35</v>
      </c>
    </row>
    <row r="139" spans="1:9" x14ac:dyDescent="0.25">
      <c r="A139">
        <f t="shared" si="20"/>
        <v>255</v>
      </c>
      <c r="B139">
        <f t="shared" si="21"/>
        <v>204</v>
      </c>
      <c r="C139">
        <f t="shared" si="22"/>
        <v>172</v>
      </c>
      <c r="D139" s="1" t="str">
        <f t="shared" si="23"/>
        <v>FFCCAC</v>
      </c>
      <c r="E139" s="76"/>
      <c r="F139" s="17" t="s">
        <v>305</v>
      </c>
      <c r="G139" t="s">
        <v>310</v>
      </c>
      <c r="H139" t="s">
        <v>308</v>
      </c>
      <c r="I139">
        <v>35</v>
      </c>
    </row>
    <row r="140" spans="1:9" x14ac:dyDescent="0.25">
      <c r="A140" s="134">
        <f t="shared" si="20"/>
        <v>255</v>
      </c>
      <c r="B140" s="134">
        <f t="shared" si="21"/>
        <v>235</v>
      </c>
      <c r="C140" s="134">
        <f t="shared" si="22"/>
        <v>148</v>
      </c>
      <c r="D140" s="135" t="str">
        <f t="shared" si="23"/>
        <v>FFEB94</v>
      </c>
      <c r="E140" s="200"/>
      <c r="F140" s="137" t="s">
        <v>306</v>
      </c>
      <c r="G140" s="134" t="s">
        <v>311</v>
      </c>
      <c r="H140" s="134" t="s">
        <v>308</v>
      </c>
      <c r="I140" s="134">
        <v>35</v>
      </c>
    </row>
    <row r="141" spans="1:9" x14ac:dyDescent="0.25">
      <c r="A141" s="127">
        <f t="shared" si="20"/>
        <v>253</v>
      </c>
      <c r="B141" s="127">
        <f t="shared" si="21"/>
        <v>212</v>
      </c>
      <c r="C141" s="127">
        <f t="shared" si="22"/>
        <v>117</v>
      </c>
      <c r="D141" s="128" t="str">
        <f t="shared" si="23"/>
        <v>FDD475</v>
      </c>
      <c r="E141" s="201"/>
      <c r="F141" s="130" t="s">
        <v>307</v>
      </c>
      <c r="G141" s="127" t="s">
        <v>312</v>
      </c>
      <c r="H141" s="127" t="s">
        <v>308</v>
      </c>
      <c r="I141" s="127">
        <v>35</v>
      </c>
    </row>
    <row r="142" spans="1:9" x14ac:dyDescent="0.25">
      <c r="A142">
        <f t="shared" si="20"/>
        <v>76</v>
      </c>
      <c r="B142">
        <f t="shared" si="21"/>
        <v>63</v>
      </c>
      <c r="C142">
        <f t="shared" si="22"/>
        <v>84</v>
      </c>
      <c r="D142" s="1" t="str">
        <f t="shared" si="23"/>
        <v>4C3F54</v>
      </c>
      <c r="E142" s="77"/>
      <c r="F142" s="17" t="s">
        <v>313</v>
      </c>
      <c r="G142" t="s">
        <v>318</v>
      </c>
      <c r="H142" t="s">
        <v>317</v>
      </c>
      <c r="I142">
        <v>36</v>
      </c>
    </row>
    <row r="143" spans="1:9" x14ac:dyDescent="0.25">
      <c r="A143">
        <f t="shared" si="20"/>
        <v>209</v>
      </c>
      <c r="B143">
        <f t="shared" si="21"/>
        <v>53</v>
      </c>
      <c r="C143">
        <f t="shared" si="22"/>
        <v>37</v>
      </c>
      <c r="D143" s="1" t="str">
        <f t="shared" si="23"/>
        <v>D13525</v>
      </c>
      <c r="E143" s="78"/>
      <c r="F143" s="17" t="s">
        <v>314</v>
      </c>
      <c r="G143" t="s">
        <v>319</v>
      </c>
      <c r="H143" t="s">
        <v>317</v>
      </c>
      <c r="I143">
        <v>36</v>
      </c>
    </row>
    <row r="144" spans="1:9" x14ac:dyDescent="0.25">
      <c r="A144" s="134">
        <f t="shared" si="20"/>
        <v>242</v>
      </c>
      <c r="B144" s="134">
        <f t="shared" si="21"/>
        <v>192</v>
      </c>
      <c r="C144" s="134">
        <f t="shared" si="22"/>
        <v>87</v>
      </c>
      <c r="D144" s="135" t="str">
        <f t="shared" si="23"/>
        <v>F2C057</v>
      </c>
      <c r="E144" s="202"/>
      <c r="F144" s="137" t="s">
        <v>315</v>
      </c>
      <c r="G144" s="134" t="s">
        <v>320</v>
      </c>
      <c r="H144" s="134" t="s">
        <v>317</v>
      </c>
      <c r="I144" s="134">
        <v>36</v>
      </c>
    </row>
    <row r="145" spans="1:9" x14ac:dyDescent="0.25">
      <c r="A145" s="127">
        <f t="shared" si="20"/>
        <v>72</v>
      </c>
      <c r="B145" s="127">
        <f t="shared" si="21"/>
        <v>104</v>
      </c>
      <c r="C145" s="127">
        <f t="shared" si="22"/>
        <v>36</v>
      </c>
      <c r="D145" s="128" t="str">
        <f t="shared" si="23"/>
        <v>486824</v>
      </c>
      <c r="E145" s="203"/>
      <c r="F145" s="130" t="s">
        <v>316</v>
      </c>
      <c r="G145" s="127" t="s">
        <v>321</v>
      </c>
      <c r="H145" s="127" t="s">
        <v>317</v>
      </c>
      <c r="I145" s="127">
        <v>36</v>
      </c>
    </row>
    <row r="146" spans="1:9" x14ac:dyDescent="0.25">
      <c r="A146">
        <f t="shared" si="20"/>
        <v>250</v>
      </c>
      <c r="B146">
        <f t="shared" si="21"/>
        <v>175</v>
      </c>
      <c r="C146">
        <f t="shared" si="22"/>
        <v>8</v>
      </c>
      <c r="D146" s="1" t="str">
        <f t="shared" si="23"/>
        <v>FAAF08</v>
      </c>
      <c r="E146" s="79"/>
      <c r="F146" s="17" t="s">
        <v>322</v>
      </c>
      <c r="G146" t="s">
        <v>327</v>
      </c>
      <c r="H146" t="s">
        <v>326</v>
      </c>
      <c r="I146">
        <v>37</v>
      </c>
    </row>
    <row r="147" spans="1:9" x14ac:dyDescent="0.25">
      <c r="A147">
        <f t="shared" si="20"/>
        <v>250</v>
      </c>
      <c r="B147">
        <f t="shared" si="21"/>
        <v>129</v>
      </c>
      <c r="C147">
        <f t="shared" si="22"/>
        <v>47</v>
      </c>
      <c r="D147" s="1" t="str">
        <f t="shared" si="23"/>
        <v>FA812F</v>
      </c>
      <c r="E147" s="80"/>
      <c r="F147" s="17" t="s">
        <v>323</v>
      </c>
      <c r="G147" t="s">
        <v>328</v>
      </c>
      <c r="H147" t="s">
        <v>326</v>
      </c>
      <c r="I147">
        <v>37</v>
      </c>
    </row>
    <row r="148" spans="1:9" x14ac:dyDescent="0.25">
      <c r="A148">
        <f t="shared" si="20"/>
        <v>250</v>
      </c>
      <c r="B148">
        <f t="shared" si="21"/>
        <v>64</v>
      </c>
      <c r="C148">
        <f t="shared" si="22"/>
        <v>50</v>
      </c>
      <c r="D148" s="1" t="str">
        <f t="shared" si="23"/>
        <v>FA4032</v>
      </c>
      <c r="E148" s="81"/>
      <c r="F148" s="17" t="s">
        <v>324</v>
      </c>
      <c r="G148" t="s">
        <v>329</v>
      </c>
      <c r="H148" t="s">
        <v>326</v>
      </c>
      <c r="I148">
        <v>37</v>
      </c>
    </row>
    <row r="149" spans="1:9" x14ac:dyDescent="0.25">
      <c r="A149" s="127">
        <f t="shared" si="20"/>
        <v>254</v>
      </c>
      <c r="B149" s="127">
        <f t="shared" si="21"/>
        <v>243</v>
      </c>
      <c r="C149" s="127">
        <f t="shared" si="22"/>
        <v>226</v>
      </c>
      <c r="D149" s="128" t="str">
        <f t="shared" si="23"/>
        <v>FEF3E2</v>
      </c>
      <c r="E149" s="204"/>
      <c r="F149" s="130" t="s">
        <v>325</v>
      </c>
      <c r="G149" s="127" t="s">
        <v>251</v>
      </c>
      <c r="H149" s="127" t="s">
        <v>326</v>
      </c>
      <c r="I149" s="127">
        <v>37</v>
      </c>
    </row>
    <row r="150" spans="1:9" x14ac:dyDescent="0.25">
      <c r="A150">
        <f t="shared" si="20"/>
        <v>244</v>
      </c>
      <c r="B150">
        <f t="shared" si="21"/>
        <v>236</v>
      </c>
      <c r="C150">
        <f t="shared" si="22"/>
        <v>106</v>
      </c>
      <c r="D150" s="1" t="str">
        <f t="shared" si="23"/>
        <v>F4EC6A</v>
      </c>
      <c r="E150" s="82"/>
      <c r="F150" s="17" t="s">
        <v>331</v>
      </c>
      <c r="G150" t="s">
        <v>332</v>
      </c>
      <c r="H150" t="s">
        <v>330</v>
      </c>
      <c r="I150">
        <v>38</v>
      </c>
    </row>
    <row r="151" spans="1:9" x14ac:dyDescent="0.25">
      <c r="A151">
        <f t="shared" si="20"/>
        <v>187</v>
      </c>
      <c r="B151">
        <f t="shared" si="21"/>
        <v>207</v>
      </c>
      <c r="C151">
        <f t="shared" si="22"/>
        <v>74</v>
      </c>
      <c r="D151" s="1" t="str">
        <f t="shared" si="23"/>
        <v>BBCF4A</v>
      </c>
      <c r="E151" s="83"/>
      <c r="F151" s="17" t="s">
        <v>334</v>
      </c>
      <c r="G151" t="s">
        <v>333</v>
      </c>
      <c r="H151" t="s">
        <v>330</v>
      </c>
      <c r="I151">
        <v>38</v>
      </c>
    </row>
    <row r="152" spans="1:9" x14ac:dyDescent="0.25">
      <c r="A152">
        <f t="shared" si="20"/>
        <v>231</v>
      </c>
      <c r="B152">
        <f t="shared" si="21"/>
        <v>63</v>
      </c>
      <c r="C152">
        <f t="shared" si="22"/>
        <v>11</v>
      </c>
      <c r="D152" s="1" t="str">
        <f t="shared" si="23"/>
        <v>E73F0B</v>
      </c>
      <c r="E152" s="84"/>
      <c r="F152" s="17" t="s">
        <v>335</v>
      </c>
      <c r="G152" t="s">
        <v>337</v>
      </c>
      <c r="H152" t="s">
        <v>330</v>
      </c>
      <c r="I152">
        <v>38</v>
      </c>
    </row>
    <row r="153" spans="1:9" x14ac:dyDescent="0.25">
      <c r="A153" s="127">
        <f t="shared" si="20"/>
        <v>161</v>
      </c>
      <c r="B153" s="127">
        <f t="shared" si="21"/>
        <v>31</v>
      </c>
      <c r="C153" s="127">
        <f t="shared" si="22"/>
        <v>12</v>
      </c>
      <c r="D153" s="128" t="str">
        <f t="shared" si="23"/>
        <v>A11F0C</v>
      </c>
      <c r="E153" s="205"/>
      <c r="F153" s="130" t="s">
        <v>336</v>
      </c>
      <c r="G153" s="127" t="s">
        <v>338</v>
      </c>
      <c r="H153" s="127" t="s">
        <v>330</v>
      </c>
      <c r="I153" s="127">
        <v>38</v>
      </c>
    </row>
    <row r="154" spans="1:9" x14ac:dyDescent="0.25">
      <c r="A154">
        <f t="shared" si="20"/>
        <v>254</v>
      </c>
      <c r="B154">
        <f t="shared" si="21"/>
        <v>242</v>
      </c>
      <c r="C154">
        <f t="shared" si="22"/>
        <v>228</v>
      </c>
      <c r="D154" s="1" t="str">
        <f t="shared" si="23"/>
        <v>FEF2E4</v>
      </c>
      <c r="E154" s="85"/>
      <c r="F154" s="17" t="s">
        <v>339</v>
      </c>
      <c r="G154" t="s">
        <v>344</v>
      </c>
      <c r="H154" t="s">
        <v>343</v>
      </c>
      <c r="I154">
        <v>39</v>
      </c>
    </row>
    <row r="155" spans="1:9" x14ac:dyDescent="0.25">
      <c r="A155" s="134">
        <f t="shared" si="20"/>
        <v>253</v>
      </c>
      <c r="B155" s="134">
        <f t="shared" si="21"/>
        <v>151</v>
      </c>
      <c r="C155" s="134">
        <f t="shared" si="22"/>
        <v>79</v>
      </c>
      <c r="D155" s="135" t="str">
        <f t="shared" si="23"/>
        <v>FD974F</v>
      </c>
      <c r="E155" s="206"/>
      <c r="F155" s="137" t="s">
        <v>340</v>
      </c>
      <c r="G155" s="134" t="s">
        <v>345</v>
      </c>
      <c r="H155" s="134" t="s">
        <v>343</v>
      </c>
      <c r="I155" s="134">
        <v>39</v>
      </c>
    </row>
    <row r="156" spans="1:9" x14ac:dyDescent="0.25">
      <c r="A156" s="134">
        <f t="shared" si="20"/>
        <v>198</v>
      </c>
      <c r="B156" s="134">
        <f t="shared" si="21"/>
        <v>0</v>
      </c>
      <c r="C156" s="134">
        <f t="shared" si="22"/>
        <v>0</v>
      </c>
      <c r="D156" s="135" t="str">
        <f t="shared" si="23"/>
        <v>C60000</v>
      </c>
      <c r="E156" s="207"/>
      <c r="F156" s="137" t="s">
        <v>341</v>
      </c>
      <c r="G156" s="134" t="s">
        <v>346</v>
      </c>
      <c r="H156" s="134" t="s">
        <v>343</v>
      </c>
      <c r="I156" s="134">
        <v>39</v>
      </c>
    </row>
    <row r="157" spans="1:9" x14ac:dyDescent="0.25">
      <c r="A157" s="127">
        <f t="shared" si="20"/>
        <v>128</v>
      </c>
      <c r="B157" s="127">
        <f t="shared" si="21"/>
        <v>90</v>
      </c>
      <c r="C157" s="127">
        <f t="shared" si="22"/>
        <v>59</v>
      </c>
      <c r="D157" s="128" t="str">
        <f t="shared" si="23"/>
        <v>805A3B</v>
      </c>
      <c r="E157" s="208"/>
      <c r="F157" s="130" t="s">
        <v>342</v>
      </c>
      <c r="G157" s="127" t="s">
        <v>347</v>
      </c>
      <c r="H157" s="127" t="s">
        <v>343</v>
      </c>
      <c r="I157" s="127">
        <v>39</v>
      </c>
    </row>
    <row r="158" spans="1:9" x14ac:dyDescent="0.25">
      <c r="A158">
        <f t="shared" si="20"/>
        <v>247</v>
      </c>
      <c r="B158">
        <f t="shared" si="21"/>
        <v>118</v>
      </c>
      <c r="C158">
        <f t="shared" si="22"/>
        <v>4</v>
      </c>
      <c r="D158" s="1" t="str">
        <f t="shared" si="23"/>
        <v>F77604</v>
      </c>
      <c r="E158" s="86"/>
      <c r="F158" s="17" t="s">
        <v>348</v>
      </c>
      <c r="G158" t="s">
        <v>353</v>
      </c>
      <c r="H158" t="s">
        <v>352</v>
      </c>
      <c r="I158">
        <v>40</v>
      </c>
    </row>
    <row r="159" spans="1:9" x14ac:dyDescent="0.25">
      <c r="A159">
        <f t="shared" si="20"/>
        <v>184</v>
      </c>
      <c r="B159">
        <f t="shared" si="21"/>
        <v>210</v>
      </c>
      <c r="C159">
        <f t="shared" si="22"/>
        <v>11</v>
      </c>
      <c r="D159" s="1" t="str">
        <f t="shared" si="23"/>
        <v>B8D20B</v>
      </c>
      <c r="E159" s="87"/>
      <c r="F159" s="17" t="s">
        <v>349</v>
      </c>
      <c r="G159" t="s">
        <v>354</v>
      </c>
      <c r="H159" t="s">
        <v>352</v>
      </c>
      <c r="I159">
        <v>40</v>
      </c>
    </row>
    <row r="160" spans="1:9" x14ac:dyDescent="0.25">
      <c r="A160">
        <f t="shared" si="20"/>
        <v>245</v>
      </c>
      <c r="B160">
        <f t="shared" si="21"/>
        <v>108</v>
      </c>
      <c r="C160">
        <f t="shared" si="22"/>
        <v>87</v>
      </c>
      <c r="D160" s="1" t="str">
        <f t="shared" si="23"/>
        <v>F56C57</v>
      </c>
      <c r="E160" s="88"/>
      <c r="F160" s="17" t="s">
        <v>350</v>
      </c>
      <c r="G160" t="s">
        <v>355</v>
      </c>
      <c r="H160" t="s">
        <v>352</v>
      </c>
      <c r="I160">
        <v>40</v>
      </c>
    </row>
    <row r="161" spans="1:9" x14ac:dyDescent="0.25">
      <c r="A161" s="127">
        <f t="shared" si="20"/>
        <v>35</v>
      </c>
      <c r="B161" s="127">
        <f t="shared" si="21"/>
        <v>27</v>
      </c>
      <c r="C161" s="127">
        <f t="shared" si="22"/>
        <v>18</v>
      </c>
      <c r="D161" s="128" t="str">
        <f t="shared" si="23"/>
        <v>231B12</v>
      </c>
      <c r="E161" s="209"/>
      <c r="F161" s="130" t="s">
        <v>351</v>
      </c>
      <c r="G161" s="127" t="s">
        <v>356</v>
      </c>
      <c r="H161" s="127" t="s">
        <v>352</v>
      </c>
      <c r="I161" s="127">
        <v>40</v>
      </c>
    </row>
    <row r="162" spans="1:9" x14ac:dyDescent="0.25">
      <c r="A162">
        <f t="shared" si="20"/>
        <v>127</v>
      </c>
      <c r="B162">
        <f t="shared" si="21"/>
        <v>21</v>
      </c>
      <c r="C162">
        <f t="shared" si="22"/>
        <v>46</v>
      </c>
      <c r="D162" s="1" t="str">
        <f t="shared" si="23"/>
        <v>7F152E</v>
      </c>
      <c r="E162" s="89"/>
      <c r="F162" s="17" t="s">
        <v>357</v>
      </c>
      <c r="G162" t="s">
        <v>362</v>
      </c>
      <c r="H162" t="s">
        <v>361</v>
      </c>
      <c r="I162">
        <v>41</v>
      </c>
    </row>
    <row r="163" spans="1:9" x14ac:dyDescent="0.25">
      <c r="A163">
        <f t="shared" si="20"/>
        <v>214</v>
      </c>
      <c r="B163">
        <f t="shared" si="21"/>
        <v>24</v>
      </c>
      <c r="C163">
        <f t="shared" si="22"/>
        <v>0</v>
      </c>
      <c r="D163" s="1" t="str">
        <f t="shared" si="23"/>
        <v>D61800</v>
      </c>
      <c r="E163" s="90"/>
      <c r="F163" s="17" t="s">
        <v>358</v>
      </c>
      <c r="G163" t="s">
        <v>363</v>
      </c>
      <c r="H163" t="s">
        <v>361</v>
      </c>
      <c r="I163">
        <v>41</v>
      </c>
    </row>
    <row r="164" spans="1:9" x14ac:dyDescent="0.25">
      <c r="A164">
        <f t="shared" si="20"/>
        <v>237</v>
      </c>
      <c r="B164">
        <f t="shared" si="21"/>
        <v>174</v>
      </c>
      <c r="C164">
        <f t="shared" si="22"/>
        <v>1</v>
      </c>
      <c r="D164" s="1" t="str">
        <f t="shared" si="23"/>
        <v>EDAE01</v>
      </c>
      <c r="E164" s="91"/>
      <c r="F164" s="17" t="s">
        <v>359</v>
      </c>
      <c r="G164" t="s">
        <v>364</v>
      </c>
      <c r="H164" t="s">
        <v>361</v>
      </c>
      <c r="I164">
        <v>41</v>
      </c>
    </row>
    <row r="165" spans="1:9" x14ac:dyDescent="0.25">
      <c r="A165" s="127">
        <f t="shared" si="20"/>
        <v>233</v>
      </c>
      <c r="B165" s="127">
        <f t="shared" si="21"/>
        <v>79</v>
      </c>
      <c r="C165" s="127">
        <f t="shared" si="22"/>
        <v>8</v>
      </c>
      <c r="D165" s="128" t="str">
        <f t="shared" si="23"/>
        <v>E94F08</v>
      </c>
      <c r="E165" s="210"/>
      <c r="F165" s="130" t="s">
        <v>360</v>
      </c>
      <c r="G165" s="127" t="s">
        <v>365</v>
      </c>
      <c r="H165" s="127" t="s">
        <v>361</v>
      </c>
      <c r="I165" s="127">
        <v>41</v>
      </c>
    </row>
    <row r="166" spans="1:9" x14ac:dyDescent="0.25">
      <c r="A166">
        <f t="shared" si="20"/>
        <v>234</v>
      </c>
      <c r="B166">
        <f t="shared" si="21"/>
        <v>226</v>
      </c>
      <c r="C166">
        <f t="shared" si="22"/>
        <v>214</v>
      </c>
      <c r="D166" s="1" t="str">
        <f t="shared" si="23"/>
        <v>EAE2D6</v>
      </c>
      <c r="E166" s="92"/>
      <c r="F166" s="17" t="s">
        <v>366</v>
      </c>
      <c r="G166" t="s">
        <v>367</v>
      </c>
      <c r="H166" t="s">
        <v>368</v>
      </c>
      <c r="I166">
        <v>42</v>
      </c>
    </row>
    <row r="167" spans="1:9" x14ac:dyDescent="0.25">
      <c r="A167">
        <f t="shared" si="20"/>
        <v>213</v>
      </c>
      <c r="B167">
        <f t="shared" si="21"/>
        <v>195</v>
      </c>
      <c r="C167">
        <f t="shared" si="22"/>
        <v>170</v>
      </c>
      <c r="D167" s="1" t="str">
        <f t="shared" si="23"/>
        <v>D5C3AA</v>
      </c>
      <c r="E167" s="93"/>
      <c r="F167" s="17" t="s">
        <v>369</v>
      </c>
      <c r="G167" t="s">
        <v>372</v>
      </c>
      <c r="H167" t="s">
        <v>368</v>
      </c>
      <c r="I167">
        <v>42</v>
      </c>
    </row>
    <row r="168" spans="1:9" x14ac:dyDescent="0.25">
      <c r="A168">
        <f t="shared" si="20"/>
        <v>134</v>
      </c>
      <c r="B168">
        <f t="shared" si="21"/>
        <v>118</v>
      </c>
      <c r="C168">
        <f t="shared" si="22"/>
        <v>102</v>
      </c>
      <c r="D168" s="1" t="str">
        <f t="shared" si="23"/>
        <v>867666</v>
      </c>
      <c r="E168" s="94"/>
      <c r="F168" s="17" t="s">
        <v>370</v>
      </c>
      <c r="G168" t="s">
        <v>373</v>
      </c>
      <c r="H168" t="s">
        <v>368</v>
      </c>
      <c r="I168">
        <v>42</v>
      </c>
    </row>
    <row r="169" spans="1:9" x14ac:dyDescent="0.25">
      <c r="A169" s="127">
        <f t="shared" si="20"/>
        <v>225</v>
      </c>
      <c r="B169" s="127">
        <f t="shared" si="21"/>
        <v>184</v>
      </c>
      <c r="C169" s="127">
        <f t="shared" si="22"/>
        <v>13</v>
      </c>
      <c r="D169" s="128" t="str">
        <f t="shared" si="23"/>
        <v>E1B80D</v>
      </c>
      <c r="E169" s="211"/>
      <c r="F169" s="130" t="s">
        <v>371</v>
      </c>
      <c r="G169" s="127" t="s">
        <v>374</v>
      </c>
      <c r="H169" s="127" t="s">
        <v>368</v>
      </c>
      <c r="I169" s="127">
        <v>42</v>
      </c>
    </row>
    <row r="170" spans="1:9" x14ac:dyDescent="0.25">
      <c r="A170">
        <f t="shared" si="20"/>
        <v>38</v>
      </c>
      <c r="B170">
        <f t="shared" si="21"/>
        <v>92</v>
      </c>
      <c r="C170">
        <f t="shared" si="22"/>
        <v>0</v>
      </c>
      <c r="D170" s="1" t="str">
        <f t="shared" si="23"/>
        <v>265C00</v>
      </c>
      <c r="E170" s="95"/>
      <c r="F170" s="17" t="s">
        <v>376</v>
      </c>
      <c r="G170" t="s">
        <v>375</v>
      </c>
      <c r="H170" t="s">
        <v>383</v>
      </c>
      <c r="I170">
        <v>43</v>
      </c>
    </row>
    <row r="171" spans="1:9" x14ac:dyDescent="0.25">
      <c r="A171">
        <f t="shared" si="20"/>
        <v>104</v>
      </c>
      <c r="B171">
        <f t="shared" si="21"/>
        <v>162</v>
      </c>
      <c r="C171">
        <f t="shared" si="22"/>
        <v>37</v>
      </c>
      <c r="D171" s="1" t="str">
        <f t="shared" si="23"/>
        <v>68A225</v>
      </c>
      <c r="E171" s="96"/>
      <c r="F171" s="17" t="s">
        <v>377</v>
      </c>
      <c r="G171" t="s">
        <v>380</v>
      </c>
      <c r="H171" t="s">
        <v>383</v>
      </c>
      <c r="I171">
        <v>43</v>
      </c>
    </row>
    <row r="172" spans="1:9" x14ac:dyDescent="0.25">
      <c r="A172">
        <f t="shared" si="20"/>
        <v>179</v>
      </c>
      <c r="B172">
        <f t="shared" si="21"/>
        <v>222</v>
      </c>
      <c r="C172">
        <f t="shared" si="22"/>
        <v>129</v>
      </c>
      <c r="D172" s="1" t="str">
        <f t="shared" si="23"/>
        <v>B3DE81</v>
      </c>
      <c r="E172" s="97"/>
      <c r="F172" s="17" t="s">
        <v>378</v>
      </c>
      <c r="G172" t="s">
        <v>381</v>
      </c>
      <c r="H172" t="s">
        <v>383</v>
      </c>
      <c r="I172">
        <v>43</v>
      </c>
    </row>
    <row r="173" spans="1:9" x14ac:dyDescent="0.25">
      <c r="A173" s="127">
        <f t="shared" si="20"/>
        <v>253</v>
      </c>
      <c r="B173" s="127">
        <f t="shared" si="21"/>
        <v>255</v>
      </c>
      <c r="C173" s="127">
        <f t="shared" si="22"/>
        <v>255</v>
      </c>
      <c r="D173" s="128" t="str">
        <f t="shared" si="23"/>
        <v>FDFFFF</v>
      </c>
      <c r="E173" s="213"/>
      <c r="F173" s="130" t="s">
        <v>379</v>
      </c>
      <c r="G173" s="127" t="s">
        <v>382</v>
      </c>
      <c r="H173" s="127" t="s">
        <v>383</v>
      </c>
      <c r="I173" s="127">
        <v>43</v>
      </c>
    </row>
    <row r="174" spans="1:9" x14ac:dyDescent="0.25">
      <c r="A174">
        <f t="shared" si="20"/>
        <v>161</v>
      </c>
      <c r="B174">
        <f t="shared" si="21"/>
        <v>1</v>
      </c>
      <c r="C174">
        <f t="shared" si="22"/>
        <v>21</v>
      </c>
      <c r="D174" s="1" t="str">
        <f t="shared" si="23"/>
        <v>A10115</v>
      </c>
      <c r="E174" s="98"/>
      <c r="F174" s="17" t="s">
        <v>384</v>
      </c>
      <c r="G174" t="s">
        <v>139</v>
      </c>
      <c r="H174" t="s">
        <v>388</v>
      </c>
      <c r="I174">
        <v>44</v>
      </c>
    </row>
    <row r="175" spans="1:9" x14ac:dyDescent="0.25">
      <c r="A175">
        <f t="shared" si="20"/>
        <v>215</v>
      </c>
      <c r="B175">
        <f t="shared" si="21"/>
        <v>44</v>
      </c>
      <c r="C175">
        <f t="shared" si="22"/>
        <v>22</v>
      </c>
      <c r="D175" s="1" t="str">
        <f t="shared" si="23"/>
        <v>D72C16</v>
      </c>
      <c r="E175" s="99"/>
      <c r="F175" s="17" t="s">
        <v>385</v>
      </c>
      <c r="G175" t="s">
        <v>274</v>
      </c>
      <c r="H175" t="s">
        <v>388</v>
      </c>
      <c r="I175">
        <v>44</v>
      </c>
    </row>
    <row r="176" spans="1:9" x14ac:dyDescent="0.25">
      <c r="A176">
        <f t="shared" si="20"/>
        <v>240</v>
      </c>
      <c r="B176">
        <f t="shared" si="21"/>
        <v>239</v>
      </c>
      <c r="C176">
        <f t="shared" si="22"/>
        <v>234</v>
      </c>
      <c r="D176" s="1" t="str">
        <f t="shared" si="23"/>
        <v>F0EFEA</v>
      </c>
      <c r="E176" s="100"/>
      <c r="F176" s="17" t="s">
        <v>386</v>
      </c>
      <c r="G176" t="s">
        <v>389</v>
      </c>
      <c r="H176" t="s">
        <v>388</v>
      </c>
      <c r="I176">
        <v>44</v>
      </c>
    </row>
    <row r="177" spans="1:9" x14ac:dyDescent="0.25">
      <c r="A177" s="127">
        <f t="shared" si="20"/>
        <v>192</v>
      </c>
      <c r="B177" s="127">
        <f t="shared" si="21"/>
        <v>178</v>
      </c>
      <c r="C177" s="127">
        <f t="shared" si="22"/>
        <v>181</v>
      </c>
      <c r="D177" s="128" t="str">
        <f t="shared" si="23"/>
        <v>C0B2B5</v>
      </c>
      <c r="E177" s="212"/>
      <c r="F177" s="130" t="s">
        <v>387</v>
      </c>
      <c r="G177" s="127" t="s">
        <v>390</v>
      </c>
      <c r="H177" s="127" t="s">
        <v>388</v>
      </c>
      <c r="I177" s="127">
        <v>44</v>
      </c>
    </row>
    <row r="178" spans="1:9" x14ac:dyDescent="0.25">
      <c r="A178">
        <f t="shared" si="20"/>
        <v>199</v>
      </c>
      <c r="B178">
        <f t="shared" si="21"/>
        <v>219</v>
      </c>
      <c r="C178">
        <f t="shared" si="22"/>
        <v>0</v>
      </c>
      <c r="D178" s="1" t="str">
        <f t="shared" si="23"/>
        <v>C7DB00</v>
      </c>
      <c r="E178" s="101"/>
      <c r="F178" s="17" t="s">
        <v>391</v>
      </c>
      <c r="G178" t="s">
        <v>63</v>
      </c>
      <c r="H178" t="s">
        <v>398</v>
      </c>
      <c r="I178">
        <v>45</v>
      </c>
    </row>
    <row r="179" spans="1:9" x14ac:dyDescent="0.25">
      <c r="A179">
        <f t="shared" si="20"/>
        <v>122</v>
      </c>
      <c r="B179">
        <f t="shared" si="21"/>
        <v>168</v>
      </c>
      <c r="C179">
        <f t="shared" si="22"/>
        <v>2</v>
      </c>
      <c r="D179" s="1" t="str">
        <f t="shared" si="23"/>
        <v>7AA802</v>
      </c>
      <c r="E179" s="102"/>
      <c r="F179" s="17" t="s">
        <v>392</v>
      </c>
      <c r="G179" t="s">
        <v>395</v>
      </c>
      <c r="H179" t="s">
        <v>398</v>
      </c>
      <c r="I179">
        <v>45</v>
      </c>
    </row>
    <row r="180" spans="1:9" x14ac:dyDescent="0.25">
      <c r="A180">
        <f t="shared" si="20"/>
        <v>247</v>
      </c>
      <c r="B180">
        <f t="shared" si="21"/>
        <v>139</v>
      </c>
      <c r="C180">
        <f t="shared" si="22"/>
        <v>45</v>
      </c>
      <c r="D180" s="1" t="str">
        <f t="shared" si="23"/>
        <v>F78B2D</v>
      </c>
      <c r="E180" s="103"/>
      <c r="F180" s="17" t="s">
        <v>393</v>
      </c>
      <c r="G180" t="s">
        <v>396</v>
      </c>
      <c r="H180" t="s">
        <v>398</v>
      </c>
      <c r="I180">
        <v>45</v>
      </c>
    </row>
    <row r="181" spans="1:9" x14ac:dyDescent="0.25">
      <c r="A181" s="127">
        <f t="shared" si="20"/>
        <v>228</v>
      </c>
      <c r="B181" s="127">
        <f t="shared" si="21"/>
        <v>182</v>
      </c>
      <c r="C181" s="127">
        <f t="shared" si="22"/>
        <v>0</v>
      </c>
      <c r="D181" s="128" t="str">
        <f t="shared" si="23"/>
        <v>E4B600</v>
      </c>
      <c r="E181" s="214"/>
      <c r="F181" s="130" t="s">
        <v>394</v>
      </c>
      <c r="G181" s="127" t="s">
        <v>397</v>
      </c>
      <c r="H181" s="127" t="s">
        <v>398</v>
      </c>
      <c r="I181" s="127">
        <v>45</v>
      </c>
    </row>
    <row r="182" spans="1:9" x14ac:dyDescent="0.25">
      <c r="A182">
        <f t="shared" si="20"/>
        <v>48</v>
      </c>
      <c r="B182">
        <f t="shared" si="21"/>
        <v>27</v>
      </c>
      <c r="C182">
        <f t="shared" si="22"/>
        <v>40</v>
      </c>
      <c r="D182" s="1" t="str">
        <f t="shared" si="23"/>
        <v>301B28</v>
      </c>
      <c r="E182" s="104"/>
      <c r="F182" s="17" t="s">
        <v>399</v>
      </c>
      <c r="G182" t="s">
        <v>404</v>
      </c>
      <c r="H182" t="s">
        <v>403</v>
      </c>
      <c r="I182">
        <v>46</v>
      </c>
    </row>
    <row r="183" spans="1:9" x14ac:dyDescent="0.25">
      <c r="A183">
        <f t="shared" si="20"/>
        <v>82</v>
      </c>
      <c r="B183">
        <f t="shared" si="21"/>
        <v>54</v>
      </c>
      <c r="C183">
        <f t="shared" si="22"/>
        <v>52</v>
      </c>
      <c r="D183" s="1" t="str">
        <f t="shared" si="23"/>
        <v>523634</v>
      </c>
      <c r="E183" s="105"/>
      <c r="F183" s="17" t="s">
        <v>400</v>
      </c>
      <c r="G183" t="s">
        <v>405</v>
      </c>
      <c r="H183" t="s">
        <v>403</v>
      </c>
      <c r="I183">
        <v>46</v>
      </c>
    </row>
    <row r="184" spans="1:9" x14ac:dyDescent="0.25">
      <c r="A184">
        <f t="shared" si="20"/>
        <v>182</v>
      </c>
      <c r="B184">
        <f t="shared" si="21"/>
        <v>69</v>
      </c>
      <c r="C184">
        <f t="shared" si="22"/>
        <v>44</v>
      </c>
      <c r="D184" s="1" t="str">
        <f t="shared" si="23"/>
        <v>B6452C</v>
      </c>
      <c r="E184" s="106"/>
      <c r="F184" s="17" t="s">
        <v>401</v>
      </c>
      <c r="G184" t="s">
        <v>406</v>
      </c>
      <c r="H184" t="s">
        <v>403</v>
      </c>
      <c r="I184">
        <v>46</v>
      </c>
    </row>
    <row r="185" spans="1:9" x14ac:dyDescent="0.25">
      <c r="A185" s="127">
        <f t="shared" si="20"/>
        <v>221</v>
      </c>
      <c r="B185" s="127">
        <f t="shared" si="21"/>
        <v>197</v>
      </c>
      <c r="C185" s="127">
        <f t="shared" si="22"/>
        <v>162</v>
      </c>
      <c r="D185" s="128" t="str">
        <f t="shared" si="23"/>
        <v>DDC5A2</v>
      </c>
      <c r="E185" s="215"/>
      <c r="F185" s="130" t="s">
        <v>402</v>
      </c>
      <c r="G185" s="127" t="s">
        <v>407</v>
      </c>
      <c r="H185" s="127" t="s">
        <v>403</v>
      </c>
      <c r="I185" s="127">
        <v>46</v>
      </c>
    </row>
    <row r="186" spans="1:9" x14ac:dyDescent="0.25">
      <c r="A186">
        <f t="shared" si="20"/>
        <v>235</v>
      </c>
      <c r="B186">
        <f t="shared" si="21"/>
        <v>223</v>
      </c>
      <c r="C186">
        <f t="shared" si="22"/>
        <v>0</v>
      </c>
      <c r="D186" s="1" t="str">
        <f t="shared" si="23"/>
        <v>EBDF00</v>
      </c>
      <c r="E186" s="107"/>
      <c r="F186" s="17" t="s">
        <v>408</v>
      </c>
      <c r="G186" t="s">
        <v>409</v>
      </c>
      <c r="H186" t="s">
        <v>415</v>
      </c>
      <c r="I186">
        <v>47</v>
      </c>
    </row>
    <row r="187" spans="1:9" x14ac:dyDescent="0.25">
      <c r="A187">
        <f t="shared" si="20"/>
        <v>126</v>
      </c>
      <c r="B187">
        <f t="shared" si="21"/>
        <v>123</v>
      </c>
      <c r="C187">
        <f t="shared" si="22"/>
        <v>21</v>
      </c>
      <c r="D187" s="1" t="str">
        <f t="shared" si="23"/>
        <v>7E7B15</v>
      </c>
      <c r="E187" s="108"/>
      <c r="F187" s="17" t="s">
        <v>410</v>
      </c>
      <c r="G187" t="s">
        <v>413</v>
      </c>
      <c r="H187" t="s">
        <v>415</v>
      </c>
      <c r="I187">
        <v>47</v>
      </c>
    </row>
    <row r="188" spans="1:9" x14ac:dyDescent="0.25">
      <c r="A188" s="134">
        <f t="shared" si="20"/>
        <v>86</v>
      </c>
      <c r="B188" s="134">
        <f t="shared" si="21"/>
        <v>62</v>
      </c>
      <c r="C188" s="134">
        <f t="shared" si="22"/>
        <v>32</v>
      </c>
      <c r="D188" s="135" t="str">
        <f t="shared" si="23"/>
        <v>563E20</v>
      </c>
      <c r="E188" s="216"/>
      <c r="F188" s="137" t="s">
        <v>411</v>
      </c>
      <c r="G188" s="134" t="s">
        <v>414</v>
      </c>
      <c r="H188" s="134" t="s">
        <v>415</v>
      </c>
      <c r="I188" s="134">
        <v>47</v>
      </c>
    </row>
    <row r="189" spans="1:9" x14ac:dyDescent="0.25">
      <c r="A189" s="127">
        <f t="shared" si="20"/>
        <v>179</v>
      </c>
      <c r="B189" s="127">
        <f t="shared" si="21"/>
        <v>133</v>
      </c>
      <c r="C189" s="127">
        <f t="shared" si="22"/>
        <v>64</v>
      </c>
      <c r="D189" s="128" t="str">
        <f t="shared" si="23"/>
        <v>B38540</v>
      </c>
      <c r="E189" s="217"/>
      <c r="F189" s="130" t="s">
        <v>412</v>
      </c>
      <c r="G189" s="127" t="s">
        <v>122</v>
      </c>
      <c r="H189" s="127" t="s">
        <v>415</v>
      </c>
      <c r="I189" s="127">
        <v>47</v>
      </c>
    </row>
    <row r="190" spans="1:9" x14ac:dyDescent="0.25">
      <c r="A190">
        <f t="shared" si="20"/>
        <v>102</v>
      </c>
      <c r="B190">
        <f t="shared" si="21"/>
        <v>34</v>
      </c>
      <c r="C190">
        <f t="shared" si="22"/>
        <v>37</v>
      </c>
      <c r="D190" s="1" t="str">
        <f t="shared" si="23"/>
        <v>662225</v>
      </c>
      <c r="E190" s="109"/>
      <c r="F190" s="17" t="s">
        <v>416</v>
      </c>
      <c r="G190" t="s">
        <v>421</v>
      </c>
      <c r="H190" t="s">
        <v>420</v>
      </c>
      <c r="I190">
        <v>48</v>
      </c>
    </row>
    <row r="191" spans="1:9" x14ac:dyDescent="0.25">
      <c r="A191">
        <f t="shared" si="20"/>
        <v>181</v>
      </c>
      <c r="B191">
        <f t="shared" si="21"/>
        <v>29</v>
      </c>
      <c r="C191">
        <f t="shared" si="22"/>
        <v>10</v>
      </c>
      <c r="D191" s="1" t="str">
        <f t="shared" si="23"/>
        <v>B51D0A</v>
      </c>
      <c r="E191" s="110"/>
      <c r="F191" s="17" t="s">
        <v>417</v>
      </c>
      <c r="G191" t="s">
        <v>422</v>
      </c>
      <c r="H191" t="s">
        <v>420</v>
      </c>
      <c r="I191">
        <v>48</v>
      </c>
    </row>
    <row r="192" spans="1:9" x14ac:dyDescent="0.25">
      <c r="A192">
        <f t="shared" si="20"/>
        <v>234</v>
      </c>
      <c r="B192">
        <f t="shared" si="21"/>
        <v>211</v>
      </c>
      <c r="C192">
        <f t="shared" si="22"/>
        <v>156</v>
      </c>
      <c r="D192" s="1" t="str">
        <f t="shared" si="23"/>
        <v>EAD39C</v>
      </c>
      <c r="E192" s="111"/>
      <c r="F192" s="17" t="s">
        <v>418</v>
      </c>
      <c r="G192" t="s">
        <v>423</v>
      </c>
      <c r="H192" t="s">
        <v>420</v>
      </c>
      <c r="I192">
        <v>48</v>
      </c>
    </row>
    <row r="193" spans="1:9" x14ac:dyDescent="0.25">
      <c r="A193" s="127">
        <f t="shared" si="20"/>
        <v>125</v>
      </c>
      <c r="B193" s="127">
        <f t="shared" si="21"/>
        <v>94</v>
      </c>
      <c r="C193" s="127">
        <f t="shared" si="22"/>
        <v>60</v>
      </c>
      <c r="D193" s="128" t="str">
        <f t="shared" si="23"/>
        <v>7D5E3C</v>
      </c>
      <c r="E193" s="218"/>
      <c r="F193" s="130" t="s">
        <v>419</v>
      </c>
      <c r="G193" s="127" t="s">
        <v>424</v>
      </c>
      <c r="H193" s="127" t="s">
        <v>420</v>
      </c>
      <c r="I193" s="127">
        <v>48</v>
      </c>
    </row>
    <row r="194" spans="1:9" x14ac:dyDescent="0.25">
      <c r="A194">
        <f t="shared" si="20"/>
        <v>75</v>
      </c>
      <c r="B194">
        <f t="shared" si="21"/>
        <v>67</v>
      </c>
      <c r="C194">
        <f t="shared" si="22"/>
        <v>69</v>
      </c>
      <c r="D194" s="1" t="str">
        <f t="shared" si="23"/>
        <v>4B4345</v>
      </c>
      <c r="E194" s="112"/>
      <c r="F194" s="17" t="s">
        <v>425</v>
      </c>
      <c r="G194" t="s">
        <v>430</v>
      </c>
      <c r="H194" t="s">
        <v>429</v>
      </c>
      <c r="I194">
        <v>49</v>
      </c>
    </row>
    <row r="195" spans="1:9" x14ac:dyDescent="0.25">
      <c r="A195">
        <f t="shared" si="20"/>
        <v>85</v>
      </c>
      <c r="B195">
        <f t="shared" si="21"/>
        <v>109</v>
      </c>
      <c r="C195">
        <f t="shared" si="22"/>
        <v>172</v>
      </c>
      <c r="D195" s="1" t="str">
        <f t="shared" si="23"/>
        <v>556DAC</v>
      </c>
      <c r="E195" s="113"/>
      <c r="F195" s="17" t="s">
        <v>426</v>
      </c>
      <c r="G195" t="s">
        <v>431</v>
      </c>
      <c r="H195" t="s">
        <v>429</v>
      </c>
      <c r="I195">
        <v>49</v>
      </c>
    </row>
    <row r="196" spans="1:9" x14ac:dyDescent="0.25">
      <c r="A196">
        <f t="shared" si="20"/>
        <v>247</v>
      </c>
      <c r="B196">
        <f t="shared" si="21"/>
        <v>155</v>
      </c>
      <c r="C196">
        <f t="shared" si="22"/>
        <v>119</v>
      </c>
      <c r="D196" s="1" t="str">
        <f t="shared" si="23"/>
        <v>F79B77</v>
      </c>
      <c r="E196" s="114"/>
      <c r="F196" s="17" t="s">
        <v>427</v>
      </c>
      <c r="G196" t="s">
        <v>355</v>
      </c>
      <c r="H196" t="s">
        <v>429</v>
      </c>
      <c r="I196">
        <v>49</v>
      </c>
    </row>
    <row r="197" spans="1:9" x14ac:dyDescent="0.25">
      <c r="A197" s="127">
        <f t="shared" si="20"/>
        <v>117</v>
      </c>
      <c r="B197" s="127">
        <f t="shared" si="21"/>
        <v>82</v>
      </c>
      <c r="C197" s="127">
        <f t="shared" si="22"/>
        <v>72</v>
      </c>
      <c r="D197" s="128" t="str">
        <f t="shared" si="23"/>
        <v>755248</v>
      </c>
      <c r="E197" s="219"/>
      <c r="F197" s="130" t="s">
        <v>428</v>
      </c>
      <c r="G197" s="127" t="s">
        <v>424</v>
      </c>
      <c r="H197" s="127" t="s">
        <v>429</v>
      </c>
      <c r="I197" s="127">
        <v>49</v>
      </c>
    </row>
    <row r="198" spans="1:9" x14ac:dyDescent="0.25">
      <c r="A198">
        <f t="shared" si="20"/>
        <v>216</v>
      </c>
      <c r="B198">
        <f t="shared" si="21"/>
        <v>65</v>
      </c>
      <c r="C198">
        <f t="shared" si="22"/>
        <v>47</v>
      </c>
      <c r="D198" s="1" t="str">
        <f t="shared" si="23"/>
        <v>D8412F</v>
      </c>
      <c r="E198" s="115"/>
      <c r="F198" s="17" t="s">
        <v>432</v>
      </c>
      <c r="G198" t="s">
        <v>198</v>
      </c>
      <c r="H198" t="s">
        <v>435</v>
      </c>
      <c r="I198">
        <v>50</v>
      </c>
    </row>
    <row r="199" spans="1:9" x14ac:dyDescent="0.25">
      <c r="A199">
        <f t="shared" si="20"/>
        <v>254</v>
      </c>
      <c r="B199">
        <f t="shared" si="21"/>
        <v>122</v>
      </c>
      <c r="C199">
        <f t="shared" si="22"/>
        <v>71</v>
      </c>
      <c r="D199" s="1" t="str">
        <f t="shared" si="23"/>
        <v>FE7A47</v>
      </c>
      <c r="E199" s="116"/>
      <c r="F199" s="17" t="s">
        <v>433</v>
      </c>
      <c r="G199" t="s">
        <v>436</v>
      </c>
      <c r="H199" t="s">
        <v>435</v>
      </c>
      <c r="I199">
        <v>50</v>
      </c>
    </row>
    <row r="200" spans="1:9" x14ac:dyDescent="0.25">
      <c r="A200">
        <f t="shared" si="20"/>
        <v>252</v>
      </c>
      <c r="B200">
        <f t="shared" si="21"/>
        <v>253</v>
      </c>
      <c r="C200">
        <f t="shared" si="22"/>
        <v>254</v>
      </c>
      <c r="D200" s="1" t="str">
        <f t="shared" si="23"/>
        <v>FCFDFE</v>
      </c>
      <c r="E200" s="61"/>
      <c r="F200" s="17" t="s">
        <v>247</v>
      </c>
      <c r="G200" t="s">
        <v>437</v>
      </c>
      <c r="H200" t="s">
        <v>435</v>
      </c>
      <c r="I200">
        <v>50</v>
      </c>
    </row>
    <row r="201" spans="1:9" x14ac:dyDescent="0.25">
      <c r="A201">
        <f t="shared" si="20"/>
        <v>245</v>
      </c>
      <c r="B201">
        <f t="shared" si="21"/>
        <v>202</v>
      </c>
      <c r="C201">
        <f t="shared" si="22"/>
        <v>153</v>
      </c>
      <c r="D201" s="1" t="str">
        <f t="shared" si="23"/>
        <v>F5CA99</v>
      </c>
      <c r="E201" s="117"/>
      <c r="F201" s="17" t="s">
        <v>434</v>
      </c>
      <c r="G201" t="s">
        <v>438</v>
      </c>
      <c r="H201" t="s">
        <v>435</v>
      </c>
      <c r="I201">
        <v>50</v>
      </c>
    </row>
    <row r="202" spans="1:9" x14ac:dyDescent="0.25">
      <c r="A202">
        <f t="shared" si="20"/>
        <v>34</v>
      </c>
      <c r="B202">
        <f t="shared" si="21"/>
        <v>34</v>
      </c>
      <c r="C202">
        <f t="shared" si="22"/>
        <v>34</v>
      </c>
      <c r="D202" s="1" t="str">
        <f t="shared" si="23"/>
        <v>222222</v>
      </c>
      <c r="E202" s="118"/>
      <c r="F202" s="17" t="s">
        <v>449</v>
      </c>
      <c r="G202" t="s">
        <v>356</v>
      </c>
      <c r="H202" t="s">
        <v>439</v>
      </c>
      <c r="I202">
        <v>51</v>
      </c>
    </row>
    <row r="203" spans="1:9" x14ac:dyDescent="0.25">
      <c r="A203">
        <f t="shared" si="20"/>
        <v>0</v>
      </c>
      <c r="B203">
        <f t="shared" si="21"/>
        <v>102</v>
      </c>
      <c r="C203">
        <f t="shared" si="22"/>
        <v>153</v>
      </c>
      <c r="D203" s="1" t="str">
        <f t="shared" si="23"/>
        <v>006699</v>
      </c>
      <c r="E203" s="119"/>
      <c r="F203" s="17" t="s">
        <v>450</v>
      </c>
      <c r="G203" t="s">
        <v>206</v>
      </c>
      <c r="H203" t="s">
        <v>439</v>
      </c>
      <c r="I203">
        <v>51</v>
      </c>
    </row>
    <row r="204" spans="1:9" x14ac:dyDescent="0.25">
      <c r="A204">
        <f t="shared" si="20"/>
        <v>0</v>
      </c>
      <c r="B204">
        <f t="shared" si="21"/>
        <v>136</v>
      </c>
      <c r="C204">
        <f t="shared" si="22"/>
        <v>204</v>
      </c>
      <c r="D204" s="1" t="str">
        <f t="shared" si="23"/>
        <v>0088CC</v>
      </c>
      <c r="E204" s="120"/>
      <c r="F204" s="17" t="s">
        <v>451</v>
      </c>
      <c r="G204" t="s">
        <v>440</v>
      </c>
      <c r="H204" t="s">
        <v>439</v>
      </c>
      <c r="I204">
        <v>51</v>
      </c>
    </row>
    <row r="205" spans="1:9" x14ac:dyDescent="0.25">
      <c r="A205">
        <f t="shared" si="20"/>
        <v>83</v>
      </c>
      <c r="B205">
        <f t="shared" si="21"/>
        <v>149</v>
      </c>
      <c r="C205">
        <f t="shared" si="22"/>
        <v>54</v>
      </c>
      <c r="D205" s="1" t="str">
        <f t="shared" si="23"/>
        <v>539536</v>
      </c>
      <c r="E205" s="121"/>
      <c r="F205" s="17" t="s">
        <v>452</v>
      </c>
      <c r="G205" t="s">
        <v>441</v>
      </c>
      <c r="H205" t="s">
        <v>439</v>
      </c>
      <c r="I205">
        <v>51</v>
      </c>
    </row>
    <row r="206" spans="1:9" x14ac:dyDescent="0.25">
      <c r="A206">
        <f t="shared" si="20"/>
        <v>231</v>
      </c>
      <c r="B206">
        <f t="shared" si="21"/>
        <v>171</v>
      </c>
      <c r="C206">
        <f t="shared" si="22"/>
        <v>8</v>
      </c>
      <c r="D206" s="1" t="str">
        <f t="shared" si="23"/>
        <v>E7AB08</v>
      </c>
      <c r="E206" s="122"/>
      <c r="F206" s="17" t="s">
        <v>453</v>
      </c>
      <c r="G206" t="s">
        <v>159</v>
      </c>
      <c r="H206" t="s">
        <v>439</v>
      </c>
      <c r="I206">
        <v>51</v>
      </c>
    </row>
    <row r="207" spans="1:9" x14ac:dyDescent="0.25">
      <c r="A207">
        <f t="shared" si="20"/>
        <v>224</v>
      </c>
      <c r="B207">
        <f t="shared" si="21"/>
        <v>60</v>
      </c>
      <c r="C207">
        <f t="shared" si="22"/>
        <v>49</v>
      </c>
      <c r="D207" s="1" t="str">
        <f t="shared" si="23"/>
        <v>E03C31</v>
      </c>
      <c r="E207" s="123"/>
      <c r="F207" s="17" t="s">
        <v>454</v>
      </c>
      <c r="G207" t="s">
        <v>442</v>
      </c>
      <c r="H207" t="s">
        <v>439</v>
      </c>
      <c r="I207">
        <v>51</v>
      </c>
    </row>
    <row r="208" spans="1:9" x14ac:dyDescent="0.25">
      <c r="A208">
        <f t="shared" si="20"/>
        <v>206</v>
      </c>
      <c r="B208">
        <f t="shared" si="21"/>
        <v>83</v>
      </c>
      <c r="C208">
        <f t="shared" si="22"/>
        <v>75</v>
      </c>
      <c r="D208" s="1" t="str">
        <f t="shared" si="23"/>
        <v>CE534B</v>
      </c>
      <c r="E208" s="124"/>
      <c r="F208" s="17" t="s">
        <v>455</v>
      </c>
      <c r="G208" t="s">
        <v>355</v>
      </c>
      <c r="H208" t="s">
        <v>439</v>
      </c>
      <c r="I208">
        <v>51</v>
      </c>
    </row>
    <row r="209" spans="1:9" x14ac:dyDescent="0.25">
      <c r="A209">
        <f t="shared" si="20"/>
        <v>243</v>
      </c>
      <c r="B209">
        <f t="shared" si="21"/>
        <v>112</v>
      </c>
      <c r="C209">
        <f t="shared" si="22"/>
        <v>33</v>
      </c>
      <c r="D209" s="1" t="str">
        <f t="shared" si="23"/>
        <v>F37021</v>
      </c>
      <c r="E209" s="125"/>
      <c r="F209" s="17" t="s">
        <v>456</v>
      </c>
      <c r="G209" t="s">
        <v>162</v>
      </c>
      <c r="H209" t="s">
        <v>439</v>
      </c>
      <c r="I209">
        <v>51</v>
      </c>
    </row>
    <row r="210" spans="1:9" x14ac:dyDescent="0.25">
      <c r="A210">
        <f t="shared" si="20"/>
        <v>56</v>
      </c>
      <c r="B210">
        <f t="shared" si="21"/>
        <v>66</v>
      </c>
      <c r="C210">
        <f t="shared" si="22"/>
        <v>74</v>
      </c>
      <c r="D210" s="1" t="str">
        <f t="shared" si="23"/>
        <v>38424A</v>
      </c>
      <c r="E210" s="126"/>
      <c r="F210" s="17" t="s">
        <v>457</v>
      </c>
      <c r="G210" t="s">
        <v>443</v>
      </c>
      <c r="H210" t="s">
        <v>439</v>
      </c>
      <c r="I210">
        <v>51</v>
      </c>
    </row>
    <row r="211" spans="1:9" x14ac:dyDescent="0.25">
      <c r="A211" s="134">
        <f t="shared" si="20"/>
        <v>217</v>
      </c>
      <c r="B211" s="134">
        <f t="shared" si="21"/>
        <v>217</v>
      </c>
      <c r="C211" s="134">
        <f t="shared" si="22"/>
        <v>217</v>
      </c>
      <c r="D211" s="135" t="str">
        <f t="shared" si="23"/>
        <v>D9D9D9</v>
      </c>
      <c r="E211" s="220"/>
      <c r="F211" s="137" t="s">
        <v>458</v>
      </c>
      <c r="G211" s="134" t="s">
        <v>444</v>
      </c>
      <c r="H211" s="134" t="s">
        <v>439</v>
      </c>
      <c r="I211" s="134">
        <v>51</v>
      </c>
    </row>
    <row r="212" spans="1:9" x14ac:dyDescent="0.25">
      <c r="A212" s="134">
        <f t="shared" si="20"/>
        <v>237</v>
      </c>
      <c r="B212" s="134">
        <f t="shared" si="21"/>
        <v>237</v>
      </c>
      <c r="C212" s="134">
        <f t="shared" si="22"/>
        <v>237</v>
      </c>
      <c r="D212" s="135" t="str">
        <f t="shared" si="23"/>
        <v>EDEDED</v>
      </c>
      <c r="E212" s="221"/>
      <c r="F212" s="137" t="s">
        <v>459</v>
      </c>
      <c r="G212" s="134" t="s">
        <v>445</v>
      </c>
      <c r="H212" s="134" t="s">
        <v>439</v>
      </c>
      <c r="I212" s="134">
        <v>51</v>
      </c>
    </row>
    <row r="213" spans="1:9" x14ac:dyDescent="0.25">
      <c r="A213" s="134">
        <f t="shared" si="20"/>
        <v>238</v>
      </c>
      <c r="B213" s="134">
        <f t="shared" si="21"/>
        <v>238</v>
      </c>
      <c r="C213" s="134">
        <f t="shared" si="22"/>
        <v>238</v>
      </c>
      <c r="D213" s="135" t="str">
        <f t="shared" si="23"/>
        <v>EEEEEE</v>
      </c>
      <c r="E213" s="222"/>
      <c r="F213" s="137" t="s">
        <v>460</v>
      </c>
      <c r="G213" s="134" t="s">
        <v>446</v>
      </c>
      <c r="H213" s="134" t="s">
        <v>439</v>
      </c>
      <c r="I213" s="134">
        <v>51</v>
      </c>
    </row>
    <row r="214" spans="1:9" x14ac:dyDescent="0.25">
      <c r="A214" s="134">
        <f t="shared" si="20"/>
        <v>249</v>
      </c>
      <c r="B214" s="134">
        <f t="shared" si="21"/>
        <v>249</v>
      </c>
      <c r="C214" s="134">
        <f t="shared" si="22"/>
        <v>251</v>
      </c>
      <c r="D214" s="135" t="str">
        <f t="shared" si="23"/>
        <v>F9F9FB</v>
      </c>
      <c r="E214" s="223"/>
      <c r="F214" s="137" t="s">
        <v>461</v>
      </c>
      <c r="G214" s="134" t="s">
        <v>447</v>
      </c>
      <c r="H214" s="134" t="s">
        <v>439</v>
      </c>
      <c r="I214" s="134">
        <v>51</v>
      </c>
    </row>
    <row r="215" spans="1:9" x14ac:dyDescent="0.25">
      <c r="A215" s="127">
        <f t="shared" si="20"/>
        <v>248</v>
      </c>
      <c r="B215" s="127">
        <f t="shared" si="21"/>
        <v>249</v>
      </c>
      <c r="C215" s="127">
        <f t="shared" si="22"/>
        <v>249</v>
      </c>
      <c r="D215" s="128" t="str">
        <f t="shared" si="23"/>
        <v>F8F9F9</v>
      </c>
      <c r="E215" s="224"/>
      <c r="F215" s="130" t="s">
        <v>462</v>
      </c>
      <c r="G215" s="127" t="s">
        <v>448</v>
      </c>
      <c r="H215" s="127" t="s">
        <v>439</v>
      </c>
      <c r="I215" s="127">
        <v>51</v>
      </c>
    </row>
    <row r="216" spans="1:9" x14ac:dyDescent="0.25">
      <c r="A216">
        <v>51</v>
      </c>
      <c r="B216">
        <v>107</v>
      </c>
      <c r="C216">
        <v>135</v>
      </c>
      <c r="D216" s="1" t="s">
        <v>464</v>
      </c>
      <c r="E216" s="6"/>
      <c r="F216" s="17" t="s">
        <v>23</v>
      </c>
      <c r="G216" t="s">
        <v>26</v>
      </c>
      <c r="H216" t="s">
        <v>469</v>
      </c>
      <c r="I216">
        <v>2</v>
      </c>
    </row>
    <row r="217" spans="1:9" x14ac:dyDescent="0.25">
      <c r="A217">
        <v>70</v>
      </c>
      <c r="B217">
        <v>33</v>
      </c>
      <c r="C217">
        <v>26</v>
      </c>
      <c r="D217" s="1" t="s">
        <v>465</v>
      </c>
      <c r="E217" s="8"/>
      <c r="F217" s="17" t="s">
        <v>32</v>
      </c>
      <c r="G217" t="s">
        <v>31</v>
      </c>
      <c r="H217" t="s">
        <v>469</v>
      </c>
      <c r="I217">
        <v>3</v>
      </c>
    </row>
    <row r="218" spans="1:9" x14ac:dyDescent="0.25">
      <c r="A218">
        <v>105</v>
      </c>
      <c r="B218">
        <v>61</v>
      </c>
      <c r="C218">
        <v>61</v>
      </c>
      <c r="D218" s="1" t="s">
        <v>466</v>
      </c>
      <c r="E218" s="9"/>
      <c r="F218" s="17" t="s">
        <v>33</v>
      </c>
      <c r="G218" t="s">
        <v>37</v>
      </c>
      <c r="H218" t="s">
        <v>469</v>
      </c>
      <c r="I218">
        <v>3</v>
      </c>
    </row>
    <row r="219" spans="1:9" x14ac:dyDescent="0.25">
      <c r="A219">
        <v>186</v>
      </c>
      <c r="B219">
        <v>85</v>
      </c>
      <c r="C219">
        <v>54</v>
      </c>
      <c r="D219" s="1" t="s">
        <v>467</v>
      </c>
      <c r="E219" s="10"/>
      <c r="F219" s="17" t="s">
        <v>34</v>
      </c>
      <c r="G219" t="s">
        <v>38</v>
      </c>
      <c r="H219" t="s">
        <v>469</v>
      </c>
      <c r="I219">
        <v>3</v>
      </c>
    </row>
    <row r="220" spans="1:9" x14ac:dyDescent="0.25">
      <c r="A220" s="127">
        <v>164</v>
      </c>
      <c r="B220" s="127">
        <v>56</v>
      </c>
      <c r="C220" s="127">
        <v>32</v>
      </c>
      <c r="D220" s="128" t="s">
        <v>468</v>
      </c>
      <c r="E220" s="132"/>
      <c r="F220" s="130" t="s">
        <v>35</v>
      </c>
      <c r="G220" s="127" t="s">
        <v>39</v>
      </c>
      <c r="H220" s="127" t="s">
        <v>469</v>
      </c>
      <c r="I220" s="127">
        <v>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Lindsay, Ryan</dc:creator>
  <cp:lastModifiedBy>Lindsay, Ryan</cp:lastModifiedBy>
  <dcterms:created xsi:type="dcterms:W3CDTF">2016-09-26T20:06:24Z</dcterms:created>
  <dcterms:modified xsi:type="dcterms:W3CDTF">2017-04-25T19:56:25Z</dcterms:modified>
</cp:coreProperties>
</file>