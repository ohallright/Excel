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-Lighthouse-\basic\"/>
    </mc:Choice>
  </mc:AlternateContent>
  <bookViews>
    <workbookView xWindow="0" yWindow="0" windowWidth="13335" windowHeight="1335"/>
  </bookViews>
  <sheets>
    <sheet name="TimeCard" sheetId="1" r:id="rId1"/>
    <sheet name="Data" sheetId="2" r:id="rId2"/>
    <sheet name="Conf Room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5" i="1"/>
  <c r="I4" i="1"/>
  <c r="I3" i="1"/>
  <c r="I2" i="1"/>
  <c r="J2" i="1" s="1"/>
  <c r="L14" i="1" l="1"/>
  <c r="O5" i="2" l="1"/>
  <c r="O7" i="1" l="1"/>
  <c r="O11" i="1" s="1"/>
  <c r="P5" i="2" l="1"/>
  <c r="P4" i="2"/>
  <c r="O4" i="2"/>
  <c r="I12" i="1" l="1"/>
  <c r="I11" i="1"/>
  <c r="I10" i="1"/>
  <c r="L10" i="1" s="1"/>
  <c r="I9" i="1"/>
  <c r="L9" i="1" s="1"/>
  <c r="I8" i="1"/>
  <c r="L11" i="1" l="1"/>
  <c r="L4" i="1"/>
  <c r="L6" i="1"/>
  <c r="L2" i="1"/>
  <c r="L5" i="1"/>
  <c r="L3" i="1"/>
  <c r="L8" i="1"/>
  <c r="L12" i="1"/>
  <c r="C14" i="1"/>
  <c r="E14" i="1"/>
  <c r="G14" i="1"/>
  <c r="I14" i="1"/>
  <c r="P2" i="2" l="1"/>
  <c r="O2" i="2"/>
  <c r="O8" i="1"/>
  <c r="O12" i="1" l="1"/>
  <c r="O13" i="1" s="1"/>
  <c r="J14" i="1" l="1"/>
  <c r="J10" i="1"/>
  <c r="J6" i="1"/>
  <c r="J12" i="1"/>
  <c r="J11" i="1"/>
  <c r="J9" i="1"/>
  <c r="J8" i="1"/>
  <c r="J5" i="1"/>
  <c r="J4" i="1"/>
  <c r="J3" i="1"/>
  <c r="O9" i="1" l="1"/>
  <c r="P9" i="1" s="1"/>
</calcChain>
</file>

<file path=xl/sharedStrings.xml><?xml version="1.0" encoding="utf-8"?>
<sst xmlns="http://schemas.openxmlformats.org/spreadsheetml/2006/main" count="50" uniqueCount="39">
  <si>
    <t>Monday</t>
  </si>
  <si>
    <t>Tuesday</t>
  </si>
  <si>
    <t>Wednesday</t>
  </si>
  <si>
    <t>Thursday</t>
  </si>
  <si>
    <t>Friday</t>
  </si>
  <si>
    <t>Hours Worked</t>
  </si>
  <si>
    <t>In Time</t>
  </si>
  <si>
    <t>Lunch Time</t>
  </si>
  <si>
    <t>Back Time</t>
  </si>
  <si>
    <t>Out Time</t>
  </si>
  <si>
    <t>Ideal</t>
  </si>
  <si>
    <t>First
Week</t>
  </si>
  <si>
    <t>Second
Week</t>
  </si>
  <si>
    <t>Today</t>
  </si>
  <si>
    <t>Lunch</t>
  </si>
  <si>
    <t>End Lunch</t>
  </si>
  <si>
    <t>Start Lunch</t>
  </si>
  <si>
    <t>Off Work</t>
  </si>
  <si>
    <t>Start Work</t>
  </si>
  <si>
    <t>Days Employed</t>
  </si>
  <si>
    <t>Months</t>
  </si>
  <si>
    <t>Years</t>
  </si>
  <si>
    <t>Start Date</t>
  </si>
  <si>
    <t>Average</t>
  </si>
  <si>
    <t>Median</t>
  </si>
  <si>
    <t>Start</t>
  </si>
  <si>
    <t>Off</t>
  </si>
  <si>
    <t>Days Worked</t>
  </si>
  <si>
    <t>From lunch to end of day</t>
  </si>
  <si>
    <t>Yes</t>
  </si>
  <si>
    <t>No</t>
  </si>
  <si>
    <t>Computer Hook-ups</t>
  </si>
  <si>
    <t>Notes</t>
  </si>
  <si>
    <t>Seating</t>
  </si>
  <si>
    <t>Window</t>
  </si>
  <si>
    <t>Location</t>
  </si>
  <si>
    <t>Floor</t>
  </si>
  <si>
    <t>Room Name</t>
  </si>
  <si>
    <t>Rough Money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</si>
</sst>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h:mm:ss;@"/>
    <numFmt numFmtId="165" formatCode="h:mm;@"/>
    <numFmt numFmtId="166" formatCode="hh:mm"/>
    <numFmt numFmtId="167" formatCode="00"/>
    <numFmt numFmtId="168" formatCode="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5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 applyAlignment="1">
      <alignment horizontal="center" wrapText="1"/>
    </xf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6" fontId="0" fillId="0" borderId="0" xfId="0" applyNumberFormat="1"/>
    <xf numFmtId="167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2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0" xfId="0" applyNumberFormat="1" applyAlignment="1">
      <alignment horizontal="center" vertical="center"/>
    </xf>
    <xf numFmtId="168" fontId="0" fillId="0" borderId="0" xfId="0" applyNumberFormat="1"/>
    <xf numFmtId="168" fontId="0" fillId="0" borderId="4" xfId="0" applyNumberFormat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8" fontId="0" fillId="2" borderId="2" xfId="0" applyNumberFormat="1" applyFill="1" applyBorder="1" applyAlignment="1">
      <alignment horizontal="center"/>
    </xf>
    <xf numFmtId="168" fontId="0" fillId="2" borderId="3" xfId="0" applyNumberFormat="1" applyFill="1" applyBorder="1" applyAlignment="1">
      <alignment horizontal="center"/>
    </xf>
    <xf numFmtId="168" fontId="0" fillId="2" borderId="4" xfId="0" applyNumberFormat="1" applyFill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67" fontId="0" fillId="0" borderId="13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" fontId="0" fillId="0" borderId="2" xfId="1" applyNumberFormat="1" applyFont="1" applyBorder="1" applyAlignment="1">
      <alignment horizontal="center"/>
    </xf>
    <xf numFmtId="1" fontId="0" fillId="0" borderId="15" xfId="1" applyNumberFormat="1" applyFont="1" applyBorder="1" applyAlignment="1">
      <alignment horizontal="center"/>
    </xf>
    <xf numFmtId="1" fontId="0" fillId="0" borderId="3" xfId="1" applyNumberFormat="1" applyFont="1" applyBorder="1" applyAlignment="1">
      <alignment horizontal="center"/>
    </xf>
    <xf numFmtId="1" fontId="0" fillId="0" borderId="16" xfId="1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3" borderId="8" xfId="0" applyNumberForma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 vertical="center" wrapText="1"/>
    </xf>
    <xf numFmtId="0" fontId="0" fillId="4" borderId="0" xfId="0" applyFill="1"/>
    <xf numFmtId="0" fontId="0" fillId="0" borderId="22" xfId="0" applyBorder="1" applyAlignment="1">
      <alignment horizontal="center"/>
    </xf>
    <xf numFmtId="5" fontId="0" fillId="0" borderId="23" xfId="2" applyNumberFormat="1" applyFont="1" applyBorder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676275</xdr:colOff>
          <xdr:row>1</xdr:row>
          <xdr:rowOff>133350</xdr:rowOff>
        </xdr:from>
        <xdr:to>
          <xdr:col>14</xdr:col>
          <xdr:colOff>476250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4"/>
  <sheetViews>
    <sheetView tabSelected="1" workbookViewId="0"/>
  </sheetViews>
  <sheetFormatPr defaultRowHeight="15" x14ac:dyDescent="0.25"/>
  <cols>
    <col min="1" max="1" width="13.28515625" style="2" bestFit="1" customWidth="1"/>
    <col min="2" max="2" width="10.5703125" style="1" customWidth="1"/>
    <col min="3" max="3" width="8.5703125" style="1" hidden="1" customWidth="1"/>
    <col min="4" max="4" width="11.5703125" style="1" bestFit="1" customWidth="1"/>
    <col min="5" max="5" width="7.5703125" style="1" hidden="1" customWidth="1"/>
    <col min="6" max="6" width="11.5703125" style="1" bestFit="1" customWidth="1"/>
    <col min="7" max="7" width="7.5703125" style="1" hidden="1" customWidth="1"/>
    <col min="8" max="8" width="11.5703125" style="1" bestFit="1" customWidth="1"/>
    <col min="9" max="9" width="3.5703125" style="1" hidden="1" customWidth="1"/>
    <col min="10" max="10" width="13.7109375" style="2" bestFit="1" customWidth="1"/>
    <col min="12" max="12" width="15.140625" customWidth="1"/>
    <col min="14" max="15" width="17.85546875" customWidth="1"/>
    <col min="16" max="16" width="18.85546875" style="2" bestFit="1" customWidth="1"/>
  </cols>
  <sheetData>
    <row r="1" spans="1:16" ht="30" x14ac:dyDescent="0.25">
      <c r="A1" s="4" t="s">
        <v>11</v>
      </c>
      <c r="B1" s="5" t="s">
        <v>18</v>
      </c>
      <c r="C1" s="5" t="s">
        <v>6</v>
      </c>
      <c r="D1" s="6" t="s">
        <v>16</v>
      </c>
      <c r="E1" s="6" t="s">
        <v>7</v>
      </c>
      <c r="F1" s="6" t="s">
        <v>15</v>
      </c>
      <c r="G1" s="5" t="s">
        <v>8</v>
      </c>
      <c r="H1" s="5" t="s">
        <v>17</v>
      </c>
      <c r="I1" s="5" t="s">
        <v>9</v>
      </c>
      <c r="J1" s="7" t="s">
        <v>5</v>
      </c>
      <c r="L1" s="55" t="s">
        <v>28</v>
      </c>
    </row>
    <row r="2" spans="1:16" x14ac:dyDescent="0.25">
      <c r="A2" s="2" t="s">
        <v>0</v>
      </c>
      <c r="B2" s="25"/>
      <c r="C2" s="38"/>
      <c r="D2" s="31"/>
      <c r="E2" s="38"/>
      <c r="F2" s="31"/>
      <c r="G2" s="38"/>
      <c r="H2" s="10"/>
      <c r="I2" s="11" t="str">
        <f t="shared" ref="I2:I6" si="0">IF(LEN(H2)=3,LEFT(H2,1),LEFT(H2,2))&amp;":"&amp;RIGHT(H2,2)</f>
        <v>:</v>
      </c>
      <c r="J2" s="35" t="e">
        <f>I2-C2-(G2-E2)</f>
        <v>#VALUE!</v>
      </c>
      <c r="L2" s="37" t="e">
        <f>INT((I2-G2)*24)&amp;":"&amp;IF(ROUND((((I2-G2)*24-INT((I2-G2)*24))*60),0)&lt;10,"00",ROUND((((I2-G2)*24-INT((I2-G2)*24))*60),0))</f>
        <v>#VALUE!</v>
      </c>
    </row>
    <row r="3" spans="1:16" x14ac:dyDescent="0.25">
      <c r="A3" s="2" t="s">
        <v>1</v>
      </c>
      <c r="B3" s="26"/>
      <c r="C3" s="38"/>
      <c r="D3" s="32"/>
      <c r="E3" s="38"/>
      <c r="F3" s="32"/>
      <c r="G3" s="38"/>
      <c r="H3" s="12"/>
      <c r="I3" s="11" t="str">
        <f t="shared" si="0"/>
        <v>:</v>
      </c>
      <c r="J3" s="35" t="e">
        <f>I3-C3-(G3-E3)</f>
        <v>#VALUE!</v>
      </c>
      <c r="L3" s="37" t="e">
        <f t="shared" ref="L3:L6" si="1">INT((I3-G3)*24)&amp;":"&amp;IF(ROUND((((I3-G3)*24-INT((I3-G3)*24))*60),0)&lt;10,"00",ROUND((((I3-G3)*24-INT((I3-G3)*24))*60),0))</f>
        <v>#VALUE!</v>
      </c>
    </row>
    <row r="4" spans="1:16" x14ac:dyDescent="0.25">
      <c r="A4" s="2" t="s">
        <v>2</v>
      </c>
      <c r="B4" s="26"/>
      <c r="C4" s="38"/>
      <c r="D4" s="32"/>
      <c r="E4" s="38"/>
      <c r="F4" s="32"/>
      <c r="G4" s="38"/>
      <c r="H4" s="12"/>
      <c r="I4" s="11" t="str">
        <f t="shared" si="0"/>
        <v>:</v>
      </c>
      <c r="J4" s="35" t="e">
        <f>I4-C4-(G4-E4)</f>
        <v>#VALUE!</v>
      </c>
      <c r="L4" s="37" t="e">
        <f t="shared" si="1"/>
        <v>#VALUE!</v>
      </c>
    </row>
    <row r="5" spans="1:16" ht="15.75" thickBot="1" x14ac:dyDescent="0.3">
      <c r="A5" s="2" t="s">
        <v>3</v>
      </c>
      <c r="B5" s="26"/>
      <c r="C5" s="38"/>
      <c r="D5" s="32"/>
      <c r="E5" s="38"/>
      <c r="F5" s="32"/>
      <c r="G5" s="38"/>
      <c r="H5" s="12"/>
      <c r="I5" s="11" t="str">
        <f t="shared" si="0"/>
        <v>:</v>
      </c>
      <c r="J5" s="35" t="e">
        <f>I5-C5-(G5-E5)</f>
        <v>#VALUE!</v>
      </c>
      <c r="L5" s="37" t="e">
        <f t="shared" si="1"/>
        <v>#VALUE!</v>
      </c>
    </row>
    <row r="6" spans="1:16" x14ac:dyDescent="0.25">
      <c r="A6" s="2" t="s">
        <v>4</v>
      </c>
      <c r="B6" s="27"/>
      <c r="C6" s="38"/>
      <c r="D6" s="33"/>
      <c r="E6" s="38"/>
      <c r="F6" s="33"/>
      <c r="G6" s="38"/>
      <c r="H6" s="13"/>
      <c r="I6" s="11" t="str">
        <f t="shared" si="0"/>
        <v>:</v>
      </c>
      <c r="J6" s="35" t="e">
        <f>I6-C6-(G6-E6)</f>
        <v>#VALUE!</v>
      </c>
      <c r="K6" s="9"/>
      <c r="L6" s="37" t="e">
        <f t="shared" si="1"/>
        <v>#VALUE!</v>
      </c>
      <c r="M6" s="9"/>
      <c r="N6" s="15" t="s">
        <v>22</v>
      </c>
      <c r="O6" s="16" t="s">
        <v>13</v>
      </c>
    </row>
    <row r="7" spans="1:16" ht="30.75" thickBot="1" x14ac:dyDescent="0.3">
      <c r="A7" s="8" t="s">
        <v>12</v>
      </c>
      <c r="B7" s="28"/>
      <c r="C7" s="14"/>
      <c r="D7" s="28"/>
      <c r="E7" s="14"/>
      <c r="F7" s="28"/>
      <c r="G7" s="28"/>
      <c r="H7" s="14"/>
      <c r="I7" s="5"/>
      <c r="J7" s="7"/>
      <c r="L7" s="37"/>
      <c r="N7" s="17">
        <v>42422</v>
      </c>
      <c r="O7" s="18">
        <f ca="1">TODAY()</f>
        <v>42962</v>
      </c>
    </row>
    <row r="8" spans="1:16" x14ac:dyDescent="0.25">
      <c r="A8" s="2" t="s">
        <v>0</v>
      </c>
      <c r="B8" s="25"/>
      <c r="C8" s="38"/>
      <c r="D8" s="31"/>
      <c r="E8" s="38"/>
      <c r="F8" s="31"/>
      <c r="G8" s="38"/>
      <c r="H8" s="10"/>
      <c r="I8" s="11" t="str">
        <f t="shared" ref="I8:I12" si="2">IF(LEN(H8)=3,LEFT(H8,1),LEFT(H8,2))&amp;":"&amp;RIGHT(H8,2)</f>
        <v>:</v>
      </c>
      <c r="J8" s="35" t="e">
        <f>I8-C8-(G8-E8)</f>
        <v>#VALUE!</v>
      </c>
      <c r="L8" s="37" t="e">
        <f>INT((I8-G8)*24)&amp;":"&amp;IF(ROUND((((I8-G8)*24-INT((I8-G8)*24))*60),0)&lt;10,"00",ROUND((((I8-G8)*24-INT((I8-G8)*24))*60),0))</f>
        <v>#VALUE!</v>
      </c>
      <c r="N8" s="39" t="s">
        <v>19</v>
      </c>
      <c r="O8" s="40">
        <f ca="1">O7-N7</f>
        <v>540</v>
      </c>
      <c r="P8" s="57" t="s">
        <v>38</v>
      </c>
    </row>
    <row r="9" spans="1:16" ht="15.75" thickBot="1" x14ac:dyDescent="0.3">
      <c r="A9" s="2" t="s">
        <v>1</v>
      </c>
      <c r="B9" s="26"/>
      <c r="C9" s="11"/>
      <c r="D9" s="32"/>
      <c r="E9" s="11"/>
      <c r="F9" s="32"/>
      <c r="G9" s="11"/>
      <c r="H9" s="12"/>
      <c r="I9" s="11" t="str">
        <f t="shared" si="2"/>
        <v>:</v>
      </c>
      <c r="J9" s="35" t="e">
        <f>I9-C9-(G9-E9)</f>
        <v>#VALUE!</v>
      </c>
      <c r="L9" s="37" t="e">
        <f t="shared" ref="L9:L12" si="3">INT((I9-G9)*24)&amp;":"&amp;IF(ROUND((((I9-G9)*24-INT((I9-G9)*24))*60),0)&lt;10,"00",ROUND((((I9-G9)*24-INT((I9-G9)*24))*60),0))</f>
        <v>#VALUE!</v>
      </c>
      <c r="N9" s="39" t="s">
        <v>27</v>
      </c>
      <c r="O9" s="52">
        <f>COUNTA(Data!A:A)-1+COUNTA(B2:B12)</f>
        <v>-1</v>
      </c>
      <c r="P9" s="58">
        <f>O9*31.25*8</f>
        <v>-250</v>
      </c>
    </row>
    <row r="10" spans="1:16" x14ac:dyDescent="0.25">
      <c r="A10" s="2" t="s">
        <v>2</v>
      </c>
      <c r="B10" s="26"/>
      <c r="C10" s="11"/>
      <c r="D10" s="32"/>
      <c r="E10" s="11"/>
      <c r="F10" s="32"/>
      <c r="G10" s="11"/>
      <c r="H10" s="12"/>
      <c r="I10" s="11" t="str">
        <f t="shared" si="2"/>
        <v>:</v>
      </c>
      <c r="J10" s="35" t="e">
        <f>I10-C10-(G10-E10)</f>
        <v>#VALUE!</v>
      </c>
      <c r="L10" s="37" t="e">
        <f t="shared" si="3"/>
        <v>#VALUE!</v>
      </c>
      <c r="N10" s="19"/>
      <c r="O10" s="20"/>
    </row>
    <row r="11" spans="1:16" x14ac:dyDescent="0.25">
      <c r="A11" s="2" t="s">
        <v>3</v>
      </c>
      <c r="B11" s="26"/>
      <c r="C11" s="11"/>
      <c r="D11" s="32"/>
      <c r="E11" s="11"/>
      <c r="F11" s="32"/>
      <c r="G11" s="11"/>
      <c r="H11" s="12"/>
      <c r="I11" s="11" t="str">
        <f t="shared" si="2"/>
        <v>:</v>
      </c>
      <c r="J11" s="35" t="e">
        <f>I11-C11-(G11-E11)</f>
        <v>#VALUE!</v>
      </c>
      <c r="L11" s="37" t="e">
        <f t="shared" si="3"/>
        <v>#VALUE!</v>
      </c>
      <c r="N11" s="19" t="s">
        <v>20</v>
      </c>
      <c r="O11" s="53">
        <f ca="1">(MONTH(O7)-MONTH(N7))+(YEAR(O7)-YEAR(N7))*12</f>
        <v>18</v>
      </c>
    </row>
    <row r="12" spans="1:16" ht="15.75" thickBot="1" x14ac:dyDescent="0.3">
      <c r="A12" s="2" t="s">
        <v>4</v>
      </c>
      <c r="B12" s="27"/>
      <c r="C12" s="11"/>
      <c r="D12" s="33"/>
      <c r="E12" s="11"/>
      <c r="F12" s="33"/>
      <c r="G12" s="11"/>
      <c r="H12" s="13"/>
      <c r="I12" s="11" t="str">
        <f t="shared" si="2"/>
        <v>:</v>
      </c>
      <c r="J12" s="35" t="e">
        <f>I12-C12-(G12-E12)</f>
        <v>#VALUE!</v>
      </c>
      <c r="L12" s="37" t="e">
        <f t="shared" si="3"/>
        <v>#VALUE!</v>
      </c>
      <c r="N12" s="21" t="s">
        <v>21</v>
      </c>
      <c r="O12" s="22">
        <f ca="1">O8/365</f>
        <v>1.4794520547945205</v>
      </c>
    </row>
    <row r="13" spans="1:16" ht="15.75" thickBot="1" x14ac:dyDescent="0.3">
      <c r="A13"/>
      <c r="B13" s="29"/>
      <c r="C13"/>
      <c r="D13" s="29"/>
      <c r="E13"/>
      <c r="F13" s="29"/>
      <c r="G13" s="29"/>
      <c r="H13"/>
      <c r="I13"/>
      <c r="J13"/>
      <c r="L13" s="37"/>
      <c r="N13" s="23"/>
      <c r="O13" s="24" t="str">
        <f ca="1">ROUNDDOWN(O12,0)&amp;" Years &amp; "&amp;O11-ROUNDDOWN(O12,0)*12&amp;" Months"</f>
        <v>1 Years &amp; 6 Months</v>
      </c>
    </row>
    <row r="14" spans="1:16" x14ac:dyDescent="0.25">
      <c r="A14" s="2" t="s">
        <v>10</v>
      </c>
      <c r="B14" s="30">
        <v>800</v>
      </c>
      <c r="C14" s="11" t="str">
        <f>IF(LEN(B14)=3,LEFT(B14,1),LEFT(B14,2))&amp;":"&amp;RIGHT(B14,2)</f>
        <v>8:00</v>
      </c>
      <c r="D14" s="34">
        <v>1200</v>
      </c>
      <c r="E14" s="11" t="str">
        <f>IF(LEN(D14)=3,LEFT(D14,1),LEFT(D14,2))&amp;":"&amp;RIGHT(D14,2)</f>
        <v>12:00</v>
      </c>
      <c r="F14" s="34">
        <v>1230</v>
      </c>
      <c r="G14" s="11" t="str">
        <f>IF(LEN(F14)=3,LEFT(F14,1),LEFT(F14,2))&amp;":"&amp;RIGHT(F14,2)</f>
        <v>12:30</v>
      </c>
      <c r="H14" s="3">
        <v>1630</v>
      </c>
      <c r="I14" s="11" t="str">
        <f>IF(LEN(H14)=3,LEFT(H14,1),LEFT(H14,2))&amp;":"&amp;RIGHT(H14,2)</f>
        <v>16:30</v>
      </c>
      <c r="J14" s="36">
        <f>I14-C14-(G14-E14)</f>
        <v>0.33333333333333331</v>
      </c>
      <c r="L14" s="37">
        <f t="shared" ref="L14" si="4">INT((H14-F14)/100)</f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Tables">
                <anchor moveWithCells="1">
                  <from>
                    <xdr:col>13</xdr:col>
                    <xdr:colOff>676275</xdr:colOff>
                    <xdr:row>1</xdr:row>
                    <xdr:rowOff>133350</xdr:rowOff>
                  </from>
                  <to>
                    <xdr:col>14</xdr:col>
                    <xdr:colOff>476250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L1:P381"/>
  <sheetViews>
    <sheetView topLeftCell="A365" workbookViewId="0">
      <selection activeCell="C372" sqref="A1:L381"/>
    </sheetView>
  </sheetViews>
  <sheetFormatPr defaultRowHeight="15" x14ac:dyDescent="0.25"/>
  <cols>
    <col min="1" max="1" width="10.7109375" bestFit="1" customWidth="1"/>
    <col min="2" max="2" width="5.7109375" bestFit="1" customWidth="1"/>
    <col min="3" max="3" width="10.28515625" bestFit="1" customWidth="1"/>
    <col min="4" max="4" width="1.7109375" customWidth="1"/>
    <col min="5" max="5" width="10.7109375" customWidth="1"/>
    <col min="6" max="6" width="1.5703125" customWidth="1"/>
    <col min="7" max="7" width="8" customWidth="1"/>
    <col min="8" max="8" width="3.140625" customWidth="1"/>
    <col min="9" max="9" width="9" customWidth="1"/>
    <col min="10" max="10" width="1.7109375" customWidth="1"/>
    <col min="11" max="11" width="13.7109375" bestFit="1" customWidth="1"/>
    <col min="12" max="12" width="6.140625" style="2" bestFit="1" customWidth="1"/>
    <col min="15" max="15" width="14" style="2" bestFit="1" customWidth="1"/>
  </cols>
  <sheetData>
    <row r="1" spans="12:16" x14ac:dyDescent="0.25">
      <c r="L1"/>
      <c r="N1" s="2"/>
      <c r="O1" s="2" t="s">
        <v>24</v>
      </c>
      <c r="P1" s="2" t="s">
        <v>23</v>
      </c>
    </row>
    <row r="2" spans="12:16" x14ac:dyDescent="0.25">
      <c r="L2"/>
      <c r="N2" s="47" t="s">
        <v>14</v>
      </c>
      <c r="O2" s="45" t="e">
        <f>MEDIAN(L:L)</f>
        <v>#NUM!</v>
      </c>
      <c r="P2" s="46" t="e">
        <f>AVERAGE(L:L)</f>
        <v>#DIV/0!</v>
      </c>
    </row>
    <row r="3" spans="12:16" x14ac:dyDescent="0.25">
      <c r="L3"/>
      <c r="N3" s="50"/>
      <c r="O3" s="3"/>
      <c r="P3" s="51"/>
    </row>
    <row r="4" spans="12:16" x14ac:dyDescent="0.25">
      <c r="L4"/>
      <c r="N4" s="48" t="s">
        <v>25</v>
      </c>
      <c r="O4" s="41" t="e">
        <f>IF(LEN(ROUND(MEDIAN(C:C),0))=4,LEFT(MEDIAN(C:C),2),LEFT(MEDIAN(C:C),1))&amp;":"&amp;RIGHT(ROUND(MEDIAN(C:C),0),2)</f>
        <v>#NUM!</v>
      </c>
      <c r="P4" s="42" t="e">
        <f>IF(LEN(ROUND(MEDIAN(C:C),0))=4,LEFT(MEDIAN(C:C),2),LEFT(MEDIAN(C:C),1))&amp;":"&amp;RIGHT(ROUND(MEDIAN(C:C),0),2)</f>
        <v>#NUM!</v>
      </c>
    </row>
    <row r="5" spans="12:16" x14ac:dyDescent="0.25">
      <c r="L5"/>
      <c r="N5" s="49" t="s">
        <v>26</v>
      </c>
      <c r="O5" s="43" t="e">
        <f>IF(LEN(ROUND(MEDIAN(I:I),0))=4,LEFT(MEDIAN(I:I),2),LEFT(MEDIAN(I:I),1))&amp;":"&amp;RIGHT(ROUND(MEDIAN(I:I),0),2)</f>
        <v>#NUM!</v>
      </c>
      <c r="P5" s="44" t="e">
        <f>IF(LEN(ROUND(MEDIAN(I:I),0))=4,LEFT(MEDIAN(I:I),2),LEFT(MEDIAN(I:I),1))&amp;":"&amp;RIGHT(ROUND(MEDIAN(I:I),0),2)</f>
        <v>#NUM!</v>
      </c>
    </row>
    <row r="6" spans="12:16" x14ac:dyDescent="0.25">
      <c r="L6"/>
      <c r="N6" s="54"/>
    </row>
    <row r="7" spans="12:16" x14ac:dyDescent="0.25">
      <c r="L7"/>
    </row>
    <row r="8" spans="12:16" x14ac:dyDescent="0.25">
      <c r="L8"/>
    </row>
    <row r="9" spans="12:16" x14ac:dyDescent="0.25">
      <c r="L9"/>
    </row>
    <row r="10" spans="12:16" x14ac:dyDescent="0.25">
      <c r="L10"/>
    </row>
    <row r="11" spans="12:16" x14ac:dyDescent="0.25">
      <c r="L11"/>
    </row>
    <row r="12" spans="12:16" x14ac:dyDescent="0.25">
      <c r="L12"/>
    </row>
    <row r="13" spans="12:16" x14ac:dyDescent="0.25">
      <c r="L13"/>
    </row>
    <row r="14" spans="12:16" x14ac:dyDescent="0.25">
      <c r="L14"/>
    </row>
    <row r="15" spans="12:16" x14ac:dyDescent="0.25">
      <c r="L15"/>
    </row>
    <row r="16" spans="12:16" x14ac:dyDescent="0.25">
      <c r="L16"/>
    </row>
    <row r="17" spans="12:12" x14ac:dyDescent="0.25">
      <c r="L17"/>
    </row>
    <row r="18" spans="12:12" x14ac:dyDescent="0.25">
      <c r="L18"/>
    </row>
    <row r="19" spans="12:12" x14ac:dyDescent="0.25">
      <c r="L19"/>
    </row>
    <row r="20" spans="12:12" x14ac:dyDescent="0.25">
      <c r="L20"/>
    </row>
    <row r="21" spans="12:12" x14ac:dyDescent="0.25">
      <c r="L21"/>
    </row>
    <row r="22" spans="12:12" x14ac:dyDescent="0.25">
      <c r="L22"/>
    </row>
    <row r="23" spans="12:12" x14ac:dyDescent="0.25">
      <c r="L23"/>
    </row>
    <row r="24" spans="12:12" x14ac:dyDescent="0.25">
      <c r="L24"/>
    </row>
    <row r="25" spans="12:12" x14ac:dyDescent="0.25">
      <c r="L25"/>
    </row>
    <row r="26" spans="12:12" x14ac:dyDescent="0.25">
      <c r="L26"/>
    </row>
    <row r="27" spans="12:12" x14ac:dyDescent="0.25">
      <c r="L27"/>
    </row>
    <row r="28" spans="12:12" x14ac:dyDescent="0.25">
      <c r="L28"/>
    </row>
    <row r="29" spans="12:12" x14ac:dyDescent="0.25">
      <c r="L29"/>
    </row>
    <row r="30" spans="12:12" x14ac:dyDescent="0.25">
      <c r="L30"/>
    </row>
    <row r="31" spans="12:12" x14ac:dyDescent="0.25">
      <c r="L31"/>
    </row>
    <row r="32" spans="12:12" x14ac:dyDescent="0.25">
      <c r="L32"/>
    </row>
    <row r="33" spans="12:12" x14ac:dyDescent="0.25">
      <c r="L33"/>
    </row>
    <row r="34" spans="12:12" x14ac:dyDescent="0.25">
      <c r="L34"/>
    </row>
    <row r="35" spans="12:12" x14ac:dyDescent="0.25">
      <c r="L35"/>
    </row>
    <row r="36" spans="12:12" x14ac:dyDescent="0.25">
      <c r="L36"/>
    </row>
    <row r="37" spans="12:12" x14ac:dyDescent="0.25">
      <c r="L37"/>
    </row>
    <row r="38" spans="12:12" x14ac:dyDescent="0.25">
      <c r="L38"/>
    </row>
    <row r="39" spans="12:12" x14ac:dyDescent="0.25">
      <c r="L39"/>
    </row>
    <row r="40" spans="12:12" x14ac:dyDescent="0.25">
      <c r="L40"/>
    </row>
    <row r="41" spans="12:12" x14ac:dyDescent="0.25">
      <c r="L41"/>
    </row>
    <row r="42" spans="12:12" x14ac:dyDescent="0.25">
      <c r="L42"/>
    </row>
    <row r="43" spans="12:12" x14ac:dyDescent="0.25">
      <c r="L43"/>
    </row>
    <row r="44" spans="12:12" x14ac:dyDescent="0.25">
      <c r="L44"/>
    </row>
    <row r="45" spans="12:12" x14ac:dyDescent="0.25">
      <c r="L45"/>
    </row>
    <row r="46" spans="12:12" x14ac:dyDescent="0.25">
      <c r="L46"/>
    </row>
    <row r="47" spans="12:12" x14ac:dyDescent="0.25">
      <c r="L47"/>
    </row>
    <row r="48" spans="12:12" x14ac:dyDescent="0.25">
      <c r="L48"/>
    </row>
    <row r="49" spans="12:12" x14ac:dyDescent="0.25">
      <c r="L49"/>
    </row>
    <row r="50" spans="12:12" x14ac:dyDescent="0.25">
      <c r="L50"/>
    </row>
    <row r="51" spans="12:12" x14ac:dyDescent="0.25">
      <c r="L51"/>
    </row>
    <row r="52" spans="12:12" x14ac:dyDescent="0.25">
      <c r="L52"/>
    </row>
    <row r="53" spans="12:12" x14ac:dyDescent="0.25">
      <c r="L53"/>
    </row>
    <row r="54" spans="12:12" x14ac:dyDescent="0.25">
      <c r="L54"/>
    </row>
    <row r="55" spans="12:12" x14ac:dyDescent="0.25">
      <c r="L55"/>
    </row>
    <row r="56" spans="12:12" x14ac:dyDescent="0.25">
      <c r="L56"/>
    </row>
    <row r="57" spans="12:12" x14ac:dyDescent="0.25">
      <c r="L57"/>
    </row>
    <row r="58" spans="12:12" x14ac:dyDescent="0.25">
      <c r="L58"/>
    </row>
    <row r="59" spans="12:12" x14ac:dyDescent="0.25">
      <c r="L59"/>
    </row>
    <row r="60" spans="12:12" x14ac:dyDescent="0.25">
      <c r="L60"/>
    </row>
    <row r="61" spans="12:12" x14ac:dyDescent="0.25">
      <c r="L61"/>
    </row>
    <row r="62" spans="12:12" x14ac:dyDescent="0.25">
      <c r="L62"/>
    </row>
    <row r="63" spans="12:12" x14ac:dyDescent="0.25">
      <c r="L63"/>
    </row>
    <row r="64" spans="12:12" x14ac:dyDescent="0.25">
      <c r="L64"/>
    </row>
    <row r="65" spans="12:12" x14ac:dyDescent="0.25">
      <c r="L65"/>
    </row>
    <row r="66" spans="12:12" x14ac:dyDescent="0.25">
      <c r="L66"/>
    </row>
    <row r="67" spans="12:12" x14ac:dyDescent="0.25">
      <c r="L67"/>
    </row>
    <row r="68" spans="12:12" x14ac:dyDescent="0.25">
      <c r="L68"/>
    </row>
    <row r="69" spans="12:12" x14ac:dyDescent="0.25">
      <c r="L69"/>
    </row>
    <row r="70" spans="12:12" x14ac:dyDescent="0.25">
      <c r="L70"/>
    </row>
    <row r="71" spans="12:12" x14ac:dyDescent="0.25">
      <c r="L71"/>
    </row>
    <row r="72" spans="12:12" x14ac:dyDescent="0.25">
      <c r="L72"/>
    </row>
    <row r="73" spans="12:12" x14ac:dyDescent="0.25">
      <c r="L73"/>
    </row>
    <row r="74" spans="12:12" x14ac:dyDescent="0.25">
      <c r="L74"/>
    </row>
    <row r="75" spans="12:12" x14ac:dyDescent="0.25">
      <c r="L75"/>
    </row>
    <row r="76" spans="12:12" x14ac:dyDescent="0.25">
      <c r="L76"/>
    </row>
    <row r="77" spans="12:12" x14ac:dyDescent="0.25">
      <c r="L77"/>
    </row>
    <row r="78" spans="12:12" x14ac:dyDescent="0.25">
      <c r="L78"/>
    </row>
    <row r="79" spans="12:12" x14ac:dyDescent="0.25">
      <c r="L79"/>
    </row>
    <row r="80" spans="12:12" x14ac:dyDescent="0.25">
      <c r="L80"/>
    </row>
    <row r="81" spans="12:12" x14ac:dyDescent="0.25">
      <c r="L81"/>
    </row>
    <row r="82" spans="12:12" x14ac:dyDescent="0.25">
      <c r="L82"/>
    </row>
    <row r="83" spans="12:12" x14ac:dyDescent="0.25">
      <c r="L83"/>
    </row>
    <row r="84" spans="12:12" x14ac:dyDescent="0.25">
      <c r="L84"/>
    </row>
    <row r="85" spans="12:12" x14ac:dyDescent="0.25">
      <c r="L85"/>
    </row>
    <row r="86" spans="12:12" x14ac:dyDescent="0.25">
      <c r="L86"/>
    </row>
    <row r="87" spans="12:12" x14ac:dyDescent="0.25">
      <c r="L87"/>
    </row>
    <row r="88" spans="12:12" x14ac:dyDescent="0.25">
      <c r="L88"/>
    </row>
    <row r="89" spans="12:12" x14ac:dyDescent="0.25">
      <c r="L89"/>
    </row>
    <row r="90" spans="12:12" x14ac:dyDescent="0.25">
      <c r="L90"/>
    </row>
    <row r="91" spans="12:12" x14ac:dyDescent="0.25">
      <c r="L91"/>
    </row>
    <row r="92" spans="12:12" x14ac:dyDescent="0.25">
      <c r="L92"/>
    </row>
    <row r="93" spans="12:12" x14ac:dyDescent="0.25">
      <c r="L93"/>
    </row>
    <row r="94" spans="12:12" x14ac:dyDescent="0.25">
      <c r="L94"/>
    </row>
    <row r="95" spans="12:12" x14ac:dyDescent="0.25">
      <c r="L95"/>
    </row>
    <row r="96" spans="12:12" x14ac:dyDescent="0.25">
      <c r="L96"/>
    </row>
    <row r="97" spans="12:12" x14ac:dyDescent="0.25">
      <c r="L97"/>
    </row>
    <row r="98" spans="12:12" x14ac:dyDescent="0.25">
      <c r="L98"/>
    </row>
    <row r="99" spans="12:12" x14ac:dyDescent="0.25">
      <c r="L99"/>
    </row>
    <row r="100" spans="12:12" x14ac:dyDescent="0.25">
      <c r="L100"/>
    </row>
    <row r="101" spans="12:12" x14ac:dyDescent="0.25">
      <c r="L101"/>
    </row>
    <row r="102" spans="12:12" x14ac:dyDescent="0.25">
      <c r="L102"/>
    </row>
    <row r="103" spans="12:12" x14ac:dyDescent="0.25">
      <c r="L103"/>
    </row>
    <row r="104" spans="12:12" x14ac:dyDescent="0.25">
      <c r="L104"/>
    </row>
    <row r="105" spans="12:12" x14ac:dyDescent="0.25">
      <c r="L105"/>
    </row>
    <row r="106" spans="12:12" x14ac:dyDescent="0.25">
      <c r="L106"/>
    </row>
    <row r="107" spans="12:12" x14ac:dyDescent="0.25">
      <c r="L107"/>
    </row>
    <row r="108" spans="12:12" x14ac:dyDescent="0.25">
      <c r="L108"/>
    </row>
    <row r="109" spans="12:12" x14ac:dyDescent="0.25">
      <c r="L109"/>
    </row>
    <row r="110" spans="12:12" x14ac:dyDescent="0.25">
      <c r="L110"/>
    </row>
    <row r="111" spans="12:12" x14ac:dyDescent="0.25">
      <c r="L111"/>
    </row>
    <row r="112" spans="12:12" x14ac:dyDescent="0.25">
      <c r="L112"/>
    </row>
    <row r="113" spans="12:12" x14ac:dyDescent="0.25">
      <c r="L113"/>
    </row>
    <row r="114" spans="12:12" x14ac:dyDescent="0.25">
      <c r="L114"/>
    </row>
    <row r="115" spans="12:12" x14ac:dyDescent="0.25">
      <c r="L115"/>
    </row>
    <row r="116" spans="12:12" x14ac:dyDescent="0.25">
      <c r="L116"/>
    </row>
    <row r="117" spans="12:12" x14ac:dyDescent="0.25">
      <c r="L117"/>
    </row>
    <row r="118" spans="12:12" x14ac:dyDescent="0.25">
      <c r="L118"/>
    </row>
    <row r="119" spans="12:12" x14ac:dyDescent="0.25">
      <c r="L119"/>
    </row>
    <row r="120" spans="12:12" x14ac:dyDescent="0.25">
      <c r="L120"/>
    </row>
    <row r="121" spans="12:12" x14ac:dyDescent="0.25">
      <c r="L121"/>
    </row>
    <row r="122" spans="12:12" x14ac:dyDescent="0.25">
      <c r="L122"/>
    </row>
    <row r="123" spans="12:12" x14ac:dyDescent="0.25">
      <c r="L123"/>
    </row>
    <row r="124" spans="12:12" x14ac:dyDescent="0.25">
      <c r="L124"/>
    </row>
    <row r="125" spans="12:12" x14ac:dyDescent="0.25">
      <c r="L125"/>
    </row>
    <row r="126" spans="12:12" x14ac:dyDescent="0.25">
      <c r="L126"/>
    </row>
    <row r="127" spans="12:12" x14ac:dyDescent="0.25">
      <c r="L127"/>
    </row>
    <row r="128" spans="12:12" x14ac:dyDescent="0.25">
      <c r="L128"/>
    </row>
    <row r="129" spans="12:12" x14ac:dyDescent="0.25">
      <c r="L129"/>
    </row>
    <row r="130" spans="12:12" x14ac:dyDescent="0.25">
      <c r="L130"/>
    </row>
    <row r="131" spans="12:12" x14ac:dyDescent="0.25">
      <c r="L131"/>
    </row>
    <row r="132" spans="12:12" x14ac:dyDescent="0.25">
      <c r="L132"/>
    </row>
    <row r="133" spans="12:12" x14ac:dyDescent="0.25">
      <c r="L133"/>
    </row>
    <row r="134" spans="12:12" x14ac:dyDescent="0.25">
      <c r="L134"/>
    </row>
    <row r="135" spans="12:12" x14ac:dyDescent="0.25">
      <c r="L135"/>
    </row>
    <row r="136" spans="12:12" x14ac:dyDescent="0.25">
      <c r="L136"/>
    </row>
    <row r="137" spans="12:12" x14ac:dyDescent="0.25">
      <c r="L137"/>
    </row>
    <row r="138" spans="12:12" x14ac:dyDescent="0.25">
      <c r="L138"/>
    </row>
    <row r="139" spans="12:12" x14ac:dyDescent="0.25">
      <c r="L139"/>
    </row>
    <row r="140" spans="12:12" x14ac:dyDescent="0.25">
      <c r="L140"/>
    </row>
    <row r="141" spans="12:12" x14ac:dyDescent="0.25">
      <c r="L141"/>
    </row>
    <row r="142" spans="12:12" x14ac:dyDescent="0.25">
      <c r="L142"/>
    </row>
    <row r="143" spans="12:12" x14ac:dyDescent="0.25">
      <c r="L143"/>
    </row>
    <row r="144" spans="12:12" x14ac:dyDescent="0.25">
      <c r="L144"/>
    </row>
    <row r="145" spans="12:12" x14ac:dyDescent="0.25">
      <c r="L145"/>
    </row>
    <row r="146" spans="12:12" x14ac:dyDescent="0.25">
      <c r="L146"/>
    </row>
    <row r="147" spans="12:12" x14ac:dyDescent="0.25">
      <c r="L147"/>
    </row>
    <row r="148" spans="12:12" x14ac:dyDescent="0.25">
      <c r="L148"/>
    </row>
    <row r="149" spans="12:12" x14ac:dyDescent="0.25">
      <c r="L149"/>
    </row>
    <row r="150" spans="12:12" x14ac:dyDescent="0.25">
      <c r="L150"/>
    </row>
    <row r="151" spans="12:12" x14ac:dyDescent="0.25">
      <c r="L151"/>
    </row>
    <row r="152" spans="12:12" x14ac:dyDescent="0.25">
      <c r="L152"/>
    </row>
    <row r="153" spans="12:12" x14ac:dyDescent="0.25">
      <c r="L153"/>
    </row>
    <row r="154" spans="12:12" x14ac:dyDescent="0.25">
      <c r="L154"/>
    </row>
    <row r="155" spans="12:12" x14ac:dyDescent="0.25">
      <c r="L155"/>
    </row>
    <row r="156" spans="12:12" x14ac:dyDescent="0.25">
      <c r="L156"/>
    </row>
    <row r="157" spans="12:12" x14ac:dyDescent="0.25">
      <c r="L157"/>
    </row>
    <row r="158" spans="12:12" x14ac:dyDescent="0.25">
      <c r="L158"/>
    </row>
    <row r="159" spans="12:12" x14ac:dyDescent="0.25">
      <c r="L159"/>
    </row>
    <row r="160" spans="12:12" x14ac:dyDescent="0.25">
      <c r="L160"/>
    </row>
    <row r="161" spans="12:12" x14ac:dyDescent="0.25">
      <c r="L161"/>
    </row>
    <row r="162" spans="12:12" x14ac:dyDescent="0.25">
      <c r="L162"/>
    </row>
    <row r="163" spans="12:12" x14ac:dyDescent="0.25">
      <c r="L163"/>
    </row>
    <row r="164" spans="12:12" x14ac:dyDescent="0.25">
      <c r="L164"/>
    </row>
    <row r="165" spans="12:12" x14ac:dyDescent="0.25">
      <c r="L165"/>
    </row>
    <row r="166" spans="12:12" x14ac:dyDescent="0.25">
      <c r="L166"/>
    </row>
    <row r="167" spans="12:12" x14ac:dyDescent="0.25">
      <c r="L167"/>
    </row>
    <row r="168" spans="12:12" x14ac:dyDescent="0.25">
      <c r="L168"/>
    </row>
    <row r="169" spans="12:12" x14ac:dyDescent="0.25">
      <c r="L169"/>
    </row>
    <row r="170" spans="12:12" x14ac:dyDescent="0.25">
      <c r="L170"/>
    </row>
    <row r="171" spans="12:12" x14ac:dyDescent="0.25">
      <c r="L171"/>
    </row>
    <row r="172" spans="12:12" x14ac:dyDescent="0.25">
      <c r="L172"/>
    </row>
    <row r="173" spans="12:12" x14ac:dyDescent="0.25">
      <c r="L173"/>
    </row>
    <row r="174" spans="12:12" x14ac:dyDescent="0.25">
      <c r="L174"/>
    </row>
    <row r="175" spans="12:12" x14ac:dyDescent="0.25">
      <c r="L175"/>
    </row>
    <row r="176" spans="12:12" x14ac:dyDescent="0.25">
      <c r="L176"/>
    </row>
    <row r="177" spans="12:12" x14ac:dyDescent="0.25">
      <c r="L177"/>
    </row>
    <row r="178" spans="12:12" x14ac:dyDescent="0.25">
      <c r="L178"/>
    </row>
    <row r="179" spans="12:12" x14ac:dyDescent="0.25">
      <c r="L179"/>
    </row>
    <row r="180" spans="12:12" x14ac:dyDescent="0.25">
      <c r="L180"/>
    </row>
    <row r="181" spans="12:12" x14ac:dyDescent="0.25">
      <c r="L181"/>
    </row>
    <row r="182" spans="12:12" x14ac:dyDescent="0.25">
      <c r="L182"/>
    </row>
    <row r="183" spans="12:12" x14ac:dyDescent="0.25">
      <c r="L183"/>
    </row>
    <row r="184" spans="12:12" x14ac:dyDescent="0.25">
      <c r="L184"/>
    </row>
    <row r="185" spans="12:12" x14ac:dyDescent="0.25">
      <c r="L185"/>
    </row>
    <row r="186" spans="12:12" x14ac:dyDescent="0.25">
      <c r="L186"/>
    </row>
    <row r="187" spans="12:12" x14ac:dyDescent="0.25">
      <c r="L187"/>
    </row>
    <row r="188" spans="12:12" x14ac:dyDescent="0.25">
      <c r="L188"/>
    </row>
    <row r="189" spans="12:12" x14ac:dyDescent="0.25">
      <c r="L189"/>
    </row>
    <row r="190" spans="12:12" x14ac:dyDescent="0.25">
      <c r="L190"/>
    </row>
    <row r="191" spans="12:12" x14ac:dyDescent="0.25">
      <c r="L191"/>
    </row>
    <row r="192" spans="12:12" x14ac:dyDescent="0.25">
      <c r="L192"/>
    </row>
    <row r="193" spans="12:12" x14ac:dyDescent="0.25">
      <c r="L193"/>
    </row>
    <row r="194" spans="12:12" x14ac:dyDescent="0.25">
      <c r="L194"/>
    </row>
    <row r="195" spans="12:12" x14ac:dyDescent="0.25">
      <c r="L195"/>
    </row>
    <row r="196" spans="12:12" x14ac:dyDescent="0.25">
      <c r="L196"/>
    </row>
    <row r="197" spans="12:12" x14ac:dyDescent="0.25">
      <c r="L197"/>
    </row>
    <row r="198" spans="12:12" x14ac:dyDescent="0.25">
      <c r="L198"/>
    </row>
    <row r="199" spans="12:12" x14ac:dyDescent="0.25">
      <c r="L199"/>
    </row>
    <row r="200" spans="12:12" x14ac:dyDescent="0.25">
      <c r="L200"/>
    </row>
    <row r="201" spans="12:12" x14ac:dyDescent="0.25">
      <c r="L201"/>
    </row>
    <row r="202" spans="12:12" x14ac:dyDescent="0.25">
      <c r="L202"/>
    </row>
    <row r="203" spans="12:12" x14ac:dyDescent="0.25">
      <c r="L203"/>
    </row>
    <row r="204" spans="12:12" x14ac:dyDescent="0.25">
      <c r="L204"/>
    </row>
    <row r="205" spans="12:12" x14ac:dyDescent="0.25">
      <c r="L205"/>
    </row>
    <row r="206" spans="12:12" x14ac:dyDescent="0.25">
      <c r="L206"/>
    </row>
    <row r="207" spans="12:12" x14ac:dyDescent="0.25">
      <c r="L207"/>
    </row>
    <row r="208" spans="12:12" x14ac:dyDescent="0.25">
      <c r="L208"/>
    </row>
    <row r="209" spans="12:12" x14ac:dyDescent="0.25">
      <c r="L209"/>
    </row>
    <row r="210" spans="12:12" x14ac:dyDescent="0.25">
      <c r="L210"/>
    </row>
    <row r="211" spans="12:12" x14ac:dyDescent="0.25">
      <c r="L211"/>
    </row>
    <row r="212" spans="12:12" x14ac:dyDescent="0.25">
      <c r="L212"/>
    </row>
    <row r="213" spans="12:12" x14ac:dyDescent="0.25">
      <c r="L213"/>
    </row>
    <row r="214" spans="12:12" x14ac:dyDescent="0.25">
      <c r="L214"/>
    </row>
    <row r="215" spans="12:12" x14ac:dyDescent="0.25">
      <c r="L215"/>
    </row>
    <row r="216" spans="12:12" x14ac:dyDescent="0.25">
      <c r="L216"/>
    </row>
    <row r="217" spans="12:12" x14ac:dyDescent="0.25">
      <c r="L217"/>
    </row>
    <row r="218" spans="12:12" x14ac:dyDescent="0.25">
      <c r="L218"/>
    </row>
    <row r="219" spans="12:12" x14ac:dyDescent="0.25">
      <c r="L219"/>
    </row>
    <row r="220" spans="12:12" x14ac:dyDescent="0.25">
      <c r="L220"/>
    </row>
    <row r="221" spans="12:12" x14ac:dyDescent="0.25">
      <c r="L221"/>
    </row>
    <row r="222" spans="12:12" x14ac:dyDescent="0.25">
      <c r="L222"/>
    </row>
    <row r="223" spans="12:12" x14ac:dyDescent="0.25">
      <c r="L223"/>
    </row>
    <row r="224" spans="12:12" x14ac:dyDescent="0.25">
      <c r="L224"/>
    </row>
    <row r="225" spans="12:12" x14ac:dyDescent="0.25">
      <c r="L225"/>
    </row>
    <row r="226" spans="12:12" x14ac:dyDescent="0.25">
      <c r="L226"/>
    </row>
    <row r="227" spans="12:12" x14ac:dyDescent="0.25">
      <c r="L227"/>
    </row>
    <row r="228" spans="12:12" x14ac:dyDescent="0.25">
      <c r="L228"/>
    </row>
    <row r="229" spans="12:12" x14ac:dyDescent="0.25">
      <c r="L229"/>
    </row>
    <row r="230" spans="12:12" x14ac:dyDescent="0.25">
      <c r="L230"/>
    </row>
    <row r="231" spans="12:12" x14ac:dyDescent="0.25">
      <c r="L231"/>
    </row>
    <row r="232" spans="12:12" x14ac:dyDescent="0.25">
      <c r="L232"/>
    </row>
    <row r="233" spans="12:12" x14ac:dyDescent="0.25">
      <c r="L233"/>
    </row>
    <row r="234" spans="12:12" x14ac:dyDescent="0.25">
      <c r="L234"/>
    </row>
    <row r="235" spans="12:12" x14ac:dyDescent="0.25">
      <c r="L235"/>
    </row>
    <row r="236" spans="12:12" x14ac:dyDescent="0.25">
      <c r="L236"/>
    </row>
    <row r="237" spans="12:12" x14ac:dyDescent="0.25">
      <c r="L237"/>
    </row>
    <row r="238" spans="12:12" x14ac:dyDescent="0.25">
      <c r="L238"/>
    </row>
    <row r="239" spans="12:12" x14ac:dyDescent="0.25">
      <c r="L239"/>
    </row>
    <row r="240" spans="12:12" x14ac:dyDescent="0.25">
      <c r="L240"/>
    </row>
    <row r="241" spans="12:12" x14ac:dyDescent="0.25">
      <c r="L241"/>
    </row>
    <row r="242" spans="12:12" x14ac:dyDescent="0.25">
      <c r="L242"/>
    </row>
    <row r="243" spans="12:12" x14ac:dyDescent="0.25">
      <c r="L243"/>
    </row>
    <row r="244" spans="12:12" x14ac:dyDescent="0.25">
      <c r="L244"/>
    </row>
    <row r="245" spans="12:12" x14ac:dyDescent="0.25">
      <c r="L245"/>
    </row>
    <row r="246" spans="12:12" x14ac:dyDescent="0.25">
      <c r="L246"/>
    </row>
    <row r="247" spans="12:12" x14ac:dyDescent="0.25">
      <c r="L247"/>
    </row>
    <row r="248" spans="12:12" x14ac:dyDescent="0.25">
      <c r="L248"/>
    </row>
    <row r="249" spans="12:12" x14ac:dyDescent="0.25">
      <c r="L249"/>
    </row>
    <row r="250" spans="12:12" x14ac:dyDescent="0.25">
      <c r="L250"/>
    </row>
    <row r="251" spans="12:12" x14ac:dyDescent="0.25">
      <c r="L251"/>
    </row>
    <row r="252" spans="12:12" x14ac:dyDescent="0.25">
      <c r="L252"/>
    </row>
    <row r="253" spans="12:12" x14ac:dyDescent="0.25">
      <c r="L253"/>
    </row>
    <row r="254" spans="12:12" x14ac:dyDescent="0.25">
      <c r="L254"/>
    </row>
    <row r="255" spans="12:12" x14ac:dyDescent="0.25">
      <c r="L255"/>
    </row>
    <row r="256" spans="12:12" x14ac:dyDescent="0.25">
      <c r="L256"/>
    </row>
    <row r="257" spans="12:12" x14ac:dyDescent="0.25">
      <c r="L257"/>
    </row>
    <row r="258" spans="12:12" x14ac:dyDescent="0.25">
      <c r="L258"/>
    </row>
    <row r="259" spans="12:12" x14ac:dyDescent="0.25">
      <c r="L259"/>
    </row>
    <row r="260" spans="12:12" x14ac:dyDescent="0.25">
      <c r="L260"/>
    </row>
    <row r="261" spans="12:12" x14ac:dyDescent="0.25">
      <c r="L261"/>
    </row>
    <row r="262" spans="12:12" x14ac:dyDescent="0.25">
      <c r="L262"/>
    </row>
    <row r="263" spans="12:12" x14ac:dyDescent="0.25">
      <c r="L263"/>
    </row>
    <row r="264" spans="12:12" x14ac:dyDescent="0.25">
      <c r="L264"/>
    </row>
    <row r="265" spans="12:12" x14ac:dyDescent="0.25">
      <c r="L265"/>
    </row>
    <row r="266" spans="12:12" x14ac:dyDescent="0.25">
      <c r="L266"/>
    </row>
    <row r="267" spans="12:12" x14ac:dyDescent="0.25">
      <c r="L267"/>
    </row>
    <row r="268" spans="12:12" x14ac:dyDescent="0.25">
      <c r="L268"/>
    </row>
    <row r="269" spans="12:12" x14ac:dyDescent="0.25">
      <c r="L269"/>
    </row>
    <row r="270" spans="12:12" x14ac:dyDescent="0.25">
      <c r="L270"/>
    </row>
    <row r="271" spans="12:12" x14ac:dyDescent="0.25">
      <c r="L271"/>
    </row>
    <row r="272" spans="12:12" x14ac:dyDescent="0.25">
      <c r="L272"/>
    </row>
    <row r="273" spans="12:12" x14ac:dyDescent="0.25">
      <c r="L273"/>
    </row>
    <row r="274" spans="12:12" x14ac:dyDescent="0.25">
      <c r="L274"/>
    </row>
    <row r="275" spans="12:12" x14ac:dyDescent="0.25">
      <c r="L275"/>
    </row>
    <row r="276" spans="12:12" x14ac:dyDescent="0.25">
      <c r="L276"/>
    </row>
    <row r="277" spans="12:12" x14ac:dyDescent="0.25">
      <c r="L277"/>
    </row>
    <row r="278" spans="12:12" x14ac:dyDescent="0.25">
      <c r="L278"/>
    </row>
    <row r="279" spans="12:12" x14ac:dyDescent="0.25">
      <c r="L279"/>
    </row>
    <row r="280" spans="12:12" x14ac:dyDescent="0.25">
      <c r="L280"/>
    </row>
    <row r="281" spans="12:12" x14ac:dyDescent="0.25">
      <c r="L281"/>
    </row>
    <row r="282" spans="12:12" x14ac:dyDescent="0.25">
      <c r="L282"/>
    </row>
    <row r="283" spans="12:12" x14ac:dyDescent="0.25">
      <c r="L283"/>
    </row>
    <row r="284" spans="12:12" x14ac:dyDescent="0.25">
      <c r="L284"/>
    </row>
    <row r="285" spans="12:12" x14ac:dyDescent="0.25">
      <c r="L285"/>
    </row>
    <row r="286" spans="12:12" x14ac:dyDescent="0.25">
      <c r="L286"/>
    </row>
    <row r="287" spans="12:12" x14ac:dyDescent="0.25">
      <c r="L287"/>
    </row>
    <row r="288" spans="12:12" x14ac:dyDescent="0.25">
      <c r="L288"/>
    </row>
    <row r="289" spans="12:12" x14ac:dyDescent="0.25">
      <c r="L289"/>
    </row>
    <row r="290" spans="12:12" x14ac:dyDescent="0.25">
      <c r="L290"/>
    </row>
    <row r="291" spans="12:12" x14ac:dyDescent="0.25">
      <c r="L291"/>
    </row>
    <row r="292" spans="12:12" x14ac:dyDescent="0.25">
      <c r="L292"/>
    </row>
    <row r="293" spans="12:12" x14ac:dyDescent="0.25">
      <c r="L293"/>
    </row>
    <row r="294" spans="12:12" x14ac:dyDescent="0.25">
      <c r="L294"/>
    </row>
    <row r="295" spans="12:12" x14ac:dyDescent="0.25">
      <c r="L295"/>
    </row>
    <row r="296" spans="12:12" x14ac:dyDescent="0.25">
      <c r="L296"/>
    </row>
    <row r="297" spans="12:12" x14ac:dyDescent="0.25">
      <c r="L297"/>
    </row>
    <row r="298" spans="12:12" x14ac:dyDescent="0.25">
      <c r="L298"/>
    </row>
    <row r="299" spans="12:12" x14ac:dyDescent="0.25">
      <c r="L299"/>
    </row>
    <row r="300" spans="12:12" x14ac:dyDescent="0.25">
      <c r="L300"/>
    </row>
    <row r="301" spans="12:12" x14ac:dyDescent="0.25">
      <c r="L301"/>
    </row>
    <row r="302" spans="12:12" x14ac:dyDescent="0.25">
      <c r="L302"/>
    </row>
    <row r="303" spans="12:12" x14ac:dyDescent="0.25">
      <c r="L303"/>
    </row>
    <row r="304" spans="12:12" x14ac:dyDescent="0.25">
      <c r="L304"/>
    </row>
    <row r="305" spans="12:12" x14ac:dyDescent="0.25">
      <c r="L305"/>
    </row>
    <row r="306" spans="12:12" x14ac:dyDescent="0.25">
      <c r="L306"/>
    </row>
    <row r="307" spans="12:12" x14ac:dyDescent="0.25">
      <c r="L307"/>
    </row>
    <row r="308" spans="12:12" x14ac:dyDescent="0.25">
      <c r="L308"/>
    </row>
    <row r="309" spans="12:12" x14ac:dyDescent="0.25">
      <c r="L309"/>
    </row>
    <row r="310" spans="12:12" x14ac:dyDescent="0.25">
      <c r="L310"/>
    </row>
    <row r="311" spans="12:12" x14ac:dyDescent="0.25">
      <c r="L311"/>
    </row>
    <row r="312" spans="12:12" x14ac:dyDescent="0.25">
      <c r="L312"/>
    </row>
    <row r="313" spans="12:12" x14ac:dyDescent="0.25">
      <c r="L313"/>
    </row>
    <row r="314" spans="12:12" x14ac:dyDescent="0.25">
      <c r="L314"/>
    </row>
    <row r="315" spans="12:12" x14ac:dyDescent="0.25">
      <c r="L315"/>
    </row>
    <row r="316" spans="12:12" x14ac:dyDescent="0.25">
      <c r="L316"/>
    </row>
    <row r="317" spans="12:12" x14ac:dyDescent="0.25">
      <c r="L317"/>
    </row>
    <row r="318" spans="12:12" x14ac:dyDescent="0.25">
      <c r="L318"/>
    </row>
    <row r="319" spans="12:12" x14ac:dyDescent="0.25">
      <c r="L319"/>
    </row>
    <row r="320" spans="12:12" x14ac:dyDescent="0.25">
      <c r="L320"/>
    </row>
    <row r="321" spans="12:12" x14ac:dyDescent="0.25">
      <c r="L321"/>
    </row>
    <row r="322" spans="12:12" x14ac:dyDescent="0.25">
      <c r="L322"/>
    </row>
    <row r="323" spans="12:12" x14ac:dyDescent="0.25">
      <c r="L323"/>
    </row>
    <row r="324" spans="12:12" x14ac:dyDescent="0.25">
      <c r="L324"/>
    </row>
    <row r="325" spans="12:12" x14ac:dyDescent="0.25">
      <c r="L325"/>
    </row>
    <row r="326" spans="12:12" x14ac:dyDescent="0.25">
      <c r="L326"/>
    </row>
    <row r="327" spans="12:12" x14ac:dyDescent="0.25">
      <c r="L327"/>
    </row>
    <row r="328" spans="12:12" x14ac:dyDescent="0.25">
      <c r="L328"/>
    </row>
    <row r="329" spans="12:12" x14ac:dyDescent="0.25">
      <c r="L329"/>
    </row>
    <row r="330" spans="12:12" x14ac:dyDescent="0.25">
      <c r="L330"/>
    </row>
    <row r="331" spans="12:12" x14ac:dyDescent="0.25">
      <c r="L331"/>
    </row>
    <row r="332" spans="12:12" x14ac:dyDescent="0.25">
      <c r="L332"/>
    </row>
    <row r="333" spans="12:12" x14ac:dyDescent="0.25">
      <c r="L333"/>
    </row>
    <row r="334" spans="12:12" x14ac:dyDescent="0.25">
      <c r="L334"/>
    </row>
    <row r="335" spans="12:12" x14ac:dyDescent="0.25">
      <c r="L335"/>
    </row>
    <row r="336" spans="12:12" x14ac:dyDescent="0.25">
      <c r="L336"/>
    </row>
    <row r="337" spans="12:12" x14ac:dyDescent="0.25">
      <c r="L337"/>
    </row>
    <row r="338" spans="12:12" x14ac:dyDescent="0.25">
      <c r="L338"/>
    </row>
    <row r="339" spans="12:12" x14ac:dyDescent="0.25">
      <c r="L339"/>
    </row>
    <row r="340" spans="12:12" x14ac:dyDescent="0.25">
      <c r="L340"/>
    </row>
    <row r="341" spans="12:12" x14ac:dyDescent="0.25">
      <c r="L341"/>
    </row>
    <row r="342" spans="12:12" x14ac:dyDescent="0.25">
      <c r="L342"/>
    </row>
    <row r="343" spans="12:12" x14ac:dyDescent="0.25">
      <c r="L343"/>
    </row>
    <row r="344" spans="12:12" x14ac:dyDescent="0.25">
      <c r="L344"/>
    </row>
    <row r="345" spans="12:12" x14ac:dyDescent="0.25">
      <c r="L345"/>
    </row>
    <row r="346" spans="12:12" x14ac:dyDescent="0.25">
      <c r="L346"/>
    </row>
    <row r="347" spans="12:12" x14ac:dyDescent="0.25">
      <c r="L347"/>
    </row>
    <row r="348" spans="12:12" x14ac:dyDescent="0.25">
      <c r="L348"/>
    </row>
    <row r="349" spans="12:12" x14ac:dyDescent="0.25">
      <c r="L349"/>
    </row>
    <row r="350" spans="12:12" x14ac:dyDescent="0.25">
      <c r="L350"/>
    </row>
    <row r="351" spans="12:12" x14ac:dyDescent="0.25">
      <c r="L351"/>
    </row>
    <row r="352" spans="12:12" x14ac:dyDescent="0.25">
      <c r="L352"/>
    </row>
    <row r="353" spans="12:12" x14ac:dyDescent="0.25">
      <c r="L353"/>
    </row>
    <row r="354" spans="12:12" x14ac:dyDescent="0.25">
      <c r="L354"/>
    </row>
    <row r="355" spans="12:12" x14ac:dyDescent="0.25">
      <c r="L355"/>
    </row>
    <row r="356" spans="12:12" x14ac:dyDescent="0.25">
      <c r="L356"/>
    </row>
    <row r="357" spans="12:12" x14ac:dyDescent="0.25">
      <c r="L357"/>
    </row>
    <row r="358" spans="12:12" x14ac:dyDescent="0.25">
      <c r="L358"/>
    </row>
    <row r="359" spans="12:12" x14ac:dyDescent="0.25">
      <c r="L359"/>
    </row>
    <row r="360" spans="12:12" x14ac:dyDescent="0.25">
      <c r="L360"/>
    </row>
    <row r="361" spans="12:12" x14ac:dyDescent="0.25">
      <c r="L361"/>
    </row>
    <row r="362" spans="12:12" x14ac:dyDescent="0.25">
      <c r="L362"/>
    </row>
    <row r="363" spans="12:12" x14ac:dyDescent="0.25">
      <c r="L363"/>
    </row>
    <row r="364" spans="12:12" x14ac:dyDescent="0.25">
      <c r="L364"/>
    </row>
    <row r="365" spans="12:12" x14ac:dyDescent="0.25">
      <c r="L365"/>
    </row>
    <row r="366" spans="12:12" x14ac:dyDescent="0.25">
      <c r="L366"/>
    </row>
    <row r="367" spans="12:12" x14ac:dyDescent="0.25">
      <c r="L367"/>
    </row>
    <row r="368" spans="12:12" x14ac:dyDescent="0.25">
      <c r="L368"/>
    </row>
    <row r="369" spans="12:12" x14ac:dyDescent="0.25">
      <c r="L369"/>
    </row>
    <row r="370" spans="12:12" x14ac:dyDescent="0.25">
      <c r="L370"/>
    </row>
    <row r="371" spans="12:12" x14ac:dyDescent="0.25">
      <c r="L371"/>
    </row>
    <row r="372" spans="12:12" x14ac:dyDescent="0.25">
      <c r="L372"/>
    </row>
    <row r="373" spans="12:12" x14ac:dyDescent="0.25">
      <c r="L373"/>
    </row>
    <row r="374" spans="12:12" x14ac:dyDescent="0.25">
      <c r="L374"/>
    </row>
    <row r="375" spans="12:12" x14ac:dyDescent="0.25">
      <c r="L375"/>
    </row>
    <row r="376" spans="12:12" x14ac:dyDescent="0.25">
      <c r="L376"/>
    </row>
    <row r="377" spans="12:12" x14ac:dyDescent="0.25">
      <c r="L377"/>
    </row>
    <row r="378" spans="12:12" x14ac:dyDescent="0.25">
      <c r="L378"/>
    </row>
    <row r="379" spans="12:12" x14ac:dyDescent="0.25">
      <c r="L379"/>
    </row>
    <row r="380" spans="12:12" x14ac:dyDescent="0.25">
      <c r="L380"/>
    </row>
    <row r="381" spans="12:12" x14ac:dyDescent="0.25">
      <c r="L38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/>
  </sheetViews>
  <sheetFormatPr defaultRowHeight="15" x14ac:dyDescent="0.25"/>
  <cols>
    <col min="3" max="3" width="33.140625" bestFit="1" customWidth="1"/>
    <col min="6" max="6" width="39.42578125" bestFit="1" customWidth="1"/>
  </cols>
  <sheetData>
    <row r="1" spans="1:7" x14ac:dyDescent="0.25">
      <c r="A1" t="s">
        <v>37</v>
      </c>
      <c r="B1" t="s">
        <v>36</v>
      </c>
      <c r="C1" t="s">
        <v>35</v>
      </c>
      <c r="D1" t="s">
        <v>34</v>
      </c>
      <c r="E1" t="s">
        <v>33</v>
      </c>
      <c r="F1" t="s">
        <v>32</v>
      </c>
      <c r="G1" t="s">
        <v>31</v>
      </c>
    </row>
    <row r="3" spans="1:7" x14ac:dyDescent="0.25">
      <c r="G3" t="s">
        <v>30</v>
      </c>
    </row>
    <row r="4" spans="1:7" x14ac:dyDescent="0.25">
      <c r="G4" t="s">
        <v>29</v>
      </c>
    </row>
    <row r="5" spans="1:7" x14ac:dyDescent="0.25">
      <c r="G5" t="s">
        <v>30</v>
      </c>
    </row>
    <row r="7" spans="1:7" x14ac:dyDescent="0.25">
      <c r="G7" t="s">
        <v>29</v>
      </c>
    </row>
    <row r="8" spans="1:7" x14ac:dyDescent="0.25">
      <c r="G8" t="s">
        <v>29</v>
      </c>
    </row>
    <row r="9" spans="1:7" x14ac:dyDescent="0.25">
      <c r="G9" t="s">
        <v>29</v>
      </c>
    </row>
    <row r="10" spans="1:7" x14ac:dyDescent="0.25">
      <c r="G10" s="56" t="s">
        <v>29</v>
      </c>
    </row>
    <row r="11" spans="1:7" x14ac:dyDescent="0.25">
      <c r="G1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Data</vt:lpstr>
      <vt:lpstr>Conf Rooms</vt:lpstr>
    </vt:vector>
  </TitlesOfParts>
  <Company>Corelogic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Lindsay, Ryan</dc:creator>
  <cp:lastModifiedBy>Lindsay, Ryan</cp:lastModifiedBy>
  <dcterms:created xsi:type="dcterms:W3CDTF">2016-02-26T16:09:45Z</dcterms:created>
  <dcterms:modified xsi:type="dcterms:W3CDTF">2017-08-15T21:43:33Z</dcterms:modified>
</cp:coreProperties>
</file>